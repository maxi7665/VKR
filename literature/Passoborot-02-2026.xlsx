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ca_ws0722\Общая папка отдела\ИНТЕРНЕТ\Основные показатели транспорта\2026\"/>
    </mc:Choice>
  </mc:AlternateContent>
  <bookViews>
    <workbookView xWindow="0" yWindow="0" windowWidth="24000" windowHeight="9645" activeTab="4"/>
  </bookViews>
  <sheets>
    <sheet name="Содержание" sheetId="1" r:id="rId1"/>
    <sheet name="1" sheetId="2" r:id="rId2"/>
    <sheet name="2" sheetId="3" r:id="rId3"/>
    <sheet name="3" sheetId="4" r:id="rId4"/>
    <sheet name="4" sheetId="5" r:id="rId5"/>
  </sheets>
  <calcPr calcId="162913"/>
</workbook>
</file>

<file path=xl/calcChain.xml><?xml version="1.0" encoding="utf-8"?>
<calcChain xmlns="http://schemas.openxmlformats.org/spreadsheetml/2006/main">
  <c r="Z7" i="3" l="1"/>
  <c r="N10" i="5" l="1"/>
  <c r="M10" i="5"/>
  <c r="L10" i="5"/>
  <c r="K10" i="5"/>
  <c r="J10" i="5"/>
  <c r="I10" i="5"/>
  <c r="H10" i="5"/>
  <c r="G10" i="5"/>
  <c r="F10" i="5"/>
  <c r="E10" i="5"/>
  <c r="D10" i="5"/>
  <c r="C10" i="5"/>
  <c r="N7" i="5"/>
  <c r="M7" i="5"/>
  <c r="L7" i="5"/>
  <c r="K7" i="5"/>
  <c r="J7" i="5"/>
  <c r="I7" i="5"/>
  <c r="H7" i="5"/>
  <c r="G7" i="5"/>
  <c r="F7" i="5"/>
  <c r="E7" i="5"/>
  <c r="D7" i="5"/>
  <c r="C7" i="5"/>
  <c r="N6" i="5"/>
  <c r="M6" i="5"/>
  <c r="L6" i="5"/>
  <c r="K6" i="5"/>
  <c r="J6" i="5"/>
  <c r="I6" i="5"/>
  <c r="H6" i="5"/>
  <c r="G6" i="5"/>
  <c r="F6" i="5"/>
  <c r="E6" i="5"/>
  <c r="D6" i="5"/>
  <c r="C6" i="5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L12" i="5" l="1"/>
  <c r="D12" i="5"/>
  <c r="M9" i="5"/>
  <c r="E12" i="5"/>
  <c r="I12" i="5"/>
  <c r="M12" i="5"/>
  <c r="H12" i="5"/>
  <c r="C9" i="5"/>
  <c r="G12" i="5"/>
  <c r="K12" i="5"/>
  <c r="F12" i="5"/>
  <c r="J12" i="5"/>
  <c r="N12" i="5"/>
  <c r="D9" i="5"/>
  <c r="H9" i="5"/>
  <c r="L9" i="5"/>
  <c r="E9" i="5"/>
  <c r="I9" i="5"/>
  <c r="F9" i="5"/>
  <c r="J9" i="5"/>
  <c r="G9" i="5"/>
  <c r="K9" i="5"/>
  <c r="C12" i="5"/>
  <c r="N9" i="5"/>
  <c r="E8" i="5"/>
  <c r="I8" i="5"/>
  <c r="M8" i="5"/>
  <c r="E11" i="5"/>
  <c r="I11" i="5"/>
  <c r="M11" i="5"/>
  <c r="F8" i="5"/>
  <c r="J8" i="5"/>
  <c r="N8" i="5"/>
  <c r="F11" i="5"/>
  <c r="J11" i="5"/>
  <c r="N11" i="5"/>
  <c r="C8" i="5"/>
  <c r="G8" i="5"/>
  <c r="K8" i="5"/>
  <c r="C11" i="5"/>
  <c r="G11" i="5"/>
  <c r="K11" i="5"/>
  <c r="D8" i="5"/>
  <c r="H8" i="5"/>
  <c r="L8" i="5"/>
  <c r="D11" i="5"/>
  <c r="H11" i="5"/>
  <c r="L11" i="5"/>
</calcChain>
</file>

<file path=xl/sharedStrings.xml><?xml version="1.0" encoding="utf-8"?>
<sst xmlns="http://schemas.openxmlformats.org/spreadsheetml/2006/main" count="83" uniqueCount="68">
  <si>
    <t>Содержание</t>
  </si>
  <si>
    <t>1.</t>
  </si>
  <si>
    <t>2.</t>
  </si>
  <si>
    <t>3.</t>
  </si>
  <si>
    <t>Диаграмма</t>
  </si>
  <si>
    <t>4.</t>
  </si>
  <si>
    <t>Ответственный исполнитель:</t>
  </si>
  <si>
    <t>Смирнова Татьяна Александровна</t>
  </si>
  <si>
    <t>8 (495) 568-00-42 (доб. 99-354)</t>
  </si>
  <si>
    <t>В содержание</t>
  </si>
  <si>
    <t>Пассажирооборот по видам транспорта общего пользования</t>
  </si>
  <si>
    <t>(миллиард пассажиро-километров)</t>
  </si>
  <si>
    <r>
      <t>2022</t>
    </r>
    <r>
      <rPr>
        <vertAlign val="superscript"/>
        <sz val="12"/>
        <rFont val="Times New Roman"/>
        <family val="1"/>
        <charset val="204"/>
      </rPr>
      <t>1)</t>
    </r>
  </si>
  <si>
    <r>
      <t>2023</t>
    </r>
    <r>
      <rPr>
        <vertAlign val="superscript"/>
        <sz val="12"/>
        <rFont val="Times New Roman"/>
        <family val="1"/>
        <charset val="204"/>
      </rPr>
      <t>1)</t>
    </r>
  </si>
  <si>
    <t xml:space="preserve">Транспорт - всего </t>
  </si>
  <si>
    <t>в том числе:</t>
  </si>
  <si>
    <t>железнодорожный</t>
  </si>
  <si>
    <r>
      <t>автобусный</t>
    </r>
    <r>
      <rPr>
        <vertAlign val="superscript"/>
        <sz val="12"/>
        <rFont val="Times New Roman"/>
        <family val="1"/>
        <charset val="204"/>
      </rPr>
      <t>2)</t>
    </r>
  </si>
  <si>
    <t>трамвайный</t>
  </si>
  <si>
    <t>троллейбусный</t>
  </si>
  <si>
    <t>метрополитен</t>
  </si>
  <si>
    <r>
      <t>морской</t>
    </r>
    <r>
      <rPr>
        <vertAlign val="superscript"/>
        <sz val="12"/>
        <color indexed="64"/>
        <rFont val="Times New Roman"/>
        <family val="1"/>
        <charset val="204"/>
      </rPr>
      <t>3)</t>
    </r>
  </si>
  <si>
    <r>
      <t>внутренний водный</t>
    </r>
    <r>
      <rPr>
        <vertAlign val="superscript"/>
        <sz val="12"/>
        <color indexed="64"/>
        <rFont val="Times New Roman"/>
        <family val="1"/>
        <charset val="204"/>
      </rPr>
      <t>3)</t>
    </r>
  </si>
  <si>
    <r>
      <t>воздушный</t>
    </r>
    <r>
      <rPr>
        <vertAlign val="superscript"/>
        <sz val="12"/>
        <color indexed="64"/>
        <rFont val="Times New Roman"/>
        <family val="1"/>
        <charset val="204"/>
      </rPr>
      <t xml:space="preserve">4) </t>
    </r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</si>
  <si>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</si>
  <si>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rPr>
        <vertAlign val="superscript"/>
        <sz val="12"/>
        <color indexed="64"/>
        <rFont val="Times New Roman"/>
        <family val="1"/>
        <charset val="204"/>
      </rPr>
      <t>4)</t>
    </r>
    <r>
      <rPr>
        <sz val="12"/>
        <color indexed="64"/>
        <rFont val="Times New Roman"/>
        <family val="1"/>
        <charset val="204"/>
      </rPr>
      <t xml:space="preserve"> По данным Росавиации.</t>
    </r>
  </si>
  <si>
    <t>Структура пассажирооборота по видам транспорта по Российской Федерации</t>
  </si>
  <si>
    <t>(процент)</t>
  </si>
  <si>
    <t>воздушный</t>
  </si>
  <si>
    <t>автомобильный</t>
  </si>
  <si>
    <t>водный</t>
  </si>
  <si>
    <t>городской электрический</t>
  </si>
  <si>
    <r>
      <t>Пассажирооборот по видам транспорта</t>
    </r>
    <r>
      <rPr>
        <b/>
        <vertAlign val="superscript"/>
        <sz val="11"/>
        <rFont val="Times New Roman"/>
        <family val="1"/>
        <charset val="204"/>
      </rPr>
      <t>1)2)</t>
    </r>
  </si>
  <si>
    <t>(млн. пассажиро-км)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</si>
  <si>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</si>
  <si>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</si>
  <si>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</si>
  <si>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</si>
  <si>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</si>
  <si>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</si>
  <si>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</si>
  <si>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</si>
  <si>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</si>
  <si>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</si>
  <si>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</si>
  <si>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</si>
  <si>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ВСЕГО</t>
  </si>
  <si>
    <t>в % к прошлому году</t>
  </si>
  <si>
    <t>в % к предыдущему месяцу</t>
  </si>
  <si>
    <r>
      <t>автобусный</t>
    </r>
    <r>
      <rPr>
        <vertAlign val="superscript"/>
        <sz val="10"/>
        <rFont val="Times New Roman"/>
        <family val="1"/>
        <charset val="204"/>
      </rPr>
      <t>3)</t>
    </r>
  </si>
  <si>
    <t>внутренний водный</t>
  </si>
  <si>
    <r>
      <t>2025</t>
    </r>
    <r>
      <rPr>
        <vertAlign val="superscript"/>
        <sz val="9"/>
        <rFont val="Times New Roman"/>
        <family val="1"/>
        <charset val="204"/>
      </rPr>
      <t>4)</t>
    </r>
  </si>
  <si>
    <t>морской</t>
  </si>
  <si>
    <r>
      <t>воздушный</t>
    </r>
    <r>
      <rPr>
        <vertAlign val="superscript"/>
        <sz val="10"/>
        <rFont val="Times New Roman"/>
        <family val="1"/>
        <charset val="204"/>
      </rPr>
      <t>5)</t>
    </r>
  </si>
  <si>
    <t>(транспортная авиация)</t>
  </si>
  <si>
    <r>
      <rPr>
        <vertAlign val="superscript"/>
        <sz val="10"/>
        <rFont val="Times New Roman"/>
        <family val="1"/>
        <charset val="204"/>
      </rPr>
      <t>1)</t>
    </r>
    <r>
      <rPr>
        <sz val="10"/>
        <rFont val="Times New Roman"/>
        <family val="1"/>
        <charset val="204"/>
      </rPr>
      <t xml:space="preserve"> Данные изменены в связи с уточнением респондентами ранее предоставленных данных. Изменения выделены красным цветом шрифта.</t>
    </r>
  </si>
  <si>
    <r>
      <rPr>
        <vertAlign val="superscript"/>
        <sz val="10"/>
        <rFont val="Times New Roman"/>
        <family val="1"/>
        <charset val="204"/>
      </rPr>
      <t>2)</t>
    </r>
    <r>
      <rPr>
        <sz val="10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</si>
  <si>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rPr>
        <vertAlign val="superscript"/>
        <sz val="10"/>
        <rFont val="Times New Roman"/>
        <family val="1"/>
        <charset val="204"/>
      </rPr>
      <t>3)</t>
    </r>
    <r>
      <rPr>
        <sz val="10"/>
        <rFont val="Times New Roman"/>
        <family val="1"/>
        <charset val="204"/>
      </rPr>
      <t xml:space="preserve"> Без учета объемов, выполненных по заказам и туристско-экскурсионным маршрутам.</t>
    </r>
  </si>
  <si>
    <r>
      <rPr>
        <vertAlign val="superscript"/>
        <sz val="10"/>
        <rFont val="Times New Roman"/>
        <family val="1"/>
        <charset val="204"/>
      </rPr>
      <t>4)</t>
    </r>
    <r>
      <rPr>
        <sz val="10"/>
        <rFont val="Times New Roman"/>
        <family val="1"/>
        <charset val="204"/>
      </rPr>
      <t xml:space="preserve"> По данным Росморречфлота, опубликованным в Единой межведомственной информационно-статистической системе.</t>
    </r>
  </si>
  <si>
    <r>
      <rPr>
        <vertAlign val="superscript"/>
        <sz val="10"/>
        <rFont val="Times New Roman"/>
        <family val="1"/>
        <charset val="204"/>
      </rPr>
      <t>5)</t>
    </r>
    <r>
      <rPr>
        <sz val="10"/>
        <rFont val="Times New Roman"/>
        <family val="1"/>
        <charset val="204"/>
      </rPr>
      <t xml:space="preserve"> По данным Росавиации.</t>
    </r>
  </si>
  <si>
    <r>
      <t>2024</t>
    </r>
    <r>
      <rPr>
        <vertAlign val="superscript"/>
        <sz val="12"/>
        <rFont val="Times New Roman"/>
        <family val="1"/>
        <charset val="204"/>
      </rPr>
      <t>1)</t>
    </r>
  </si>
  <si>
    <r>
      <rPr>
        <vertAlign val="superscript"/>
        <sz val="12"/>
        <color indexed="64"/>
        <rFont val="Times New Roman"/>
        <family val="1"/>
        <charset val="204"/>
      </rPr>
      <t>2)</t>
    </r>
    <r>
      <rPr>
        <sz val="12"/>
        <color indexed="64"/>
        <rFont val="Times New Roman"/>
        <family val="1"/>
        <charset val="204"/>
      </rPr>
      <t xml:space="preserve"> Данные приведены по юридическим лицам и индивидуальным предпринимателям  (включая субъекты малого предпринимательства), осуществляющим перевозки пассажиров автобусами.</t>
    </r>
  </si>
  <si>
    <r>
      <rPr>
        <vertAlign val="superscript"/>
        <sz val="12"/>
        <rFont val="Times New Roman"/>
        <family val="1"/>
        <charset val="204"/>
      </rPr>
      <t xml:space="preserve">3) </t>
    </r>
    <r>
      <rPr>
        <sz val="12"/>
        <rFont val="Times New Roman"/>
        <family val="1"/>
        <charset val="204"/>
      </rPr>
      <t>С 2015 г. - по данным Росморречфлота.</t>
    </r>
  </si>
  <si>
    <t>Пассажирооборот по видам транспорта общего пользования по Российской Федерации (с 2000 по 2024 год)</t>
  </si>
  <si>
    <t>Структура пассажирооборота по видам транспорта общего пользования по Российской Федерации (с 2000 по 2024 год)</t>
  </si>
  <si>
    <r>
      <t>2024</t>
    </r>
    <r>
      <rPr>
        <vertAlign val="superscript"/>
        <sz val="9"/>
        <rFont val="Times New Roman"/>
        <family val="1"/>
        <charset val="204"/>
      </rPr>
      <t>4)</t>
    </r>
  </si>
  <si>
    <r>
      <t>2026</t>
    </r>
    <r>
      <rPr>
        <vertAlign val="superscript"/>
        <sz val="9"/>
        <rFont val="Times New Roman"/>
        <family val="1"/>
        <charset val="204"/>
      </rPr>
      <t>4)</t>
    </r>
  </si>
  <si>
    <t>Пассажирооборот по видам транспорта общего пользования по Российской Федерации по месяцам (оперативная информация, с 2024 года)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</si>
</sst>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#,##0.0"/>
    <numFmt numFmtId="166" formatCode="#,##0.0_ ;[Red]\-#,##0.0\ "/>
    <numFmt numFmtId="167" formatCode="#,##0.00_ ;[Red]\-#,##0.00\ "/>
  </numFmts>
  <fonts count="34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2"/>
      <color indexed="64"/>
      <name val="Times New Roman"/>
      <family val="1"/>
      <charset val="204"/>
    </font>
    <font>
      <b/>
      <sz val="10.5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name val="Times New Roman"/>
      <family val="1"/>
      <charset val="204"/>
    </font>
    <font>
      <sz val="9"/>
      <color theme="1"/>
      <name val="Calibri"/>
      <family val="2"/>
      <charset val="204"/>
      <scheme val="minor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11"/>
      <name val="Calibri"/>
      <family val="2"/>
      <charset val="204"/>
      <scheme val="minor"/>
    </font>
    <font>
      <vertAlign val="superscript"/>
      <sz val="8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vertAlign val="superscript"/>
      <sz val="12"/>
      <name val="Times New Roman"/>
      <family val="1"/>
      <charset val="204"/>
    </font>
    <font>
      <vertAlign val="superscript"/>
      <sz val="12"/>
      <color indexed="64"/>
      <name val="Times New Roman"/>
      <family val="1"/>
      <charset val="204"/>
    </font>
    <font>
      <b/>
      <vertAlign val="superscript"/>
      <sz val="11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u/>
      <sz val="11"/>
      <color theme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u/>
      <sz val="11"/>
      <name val="Times New Roman"/>
      <family val="1"/>
      <charset val="204"/>
    </font>
    <font>
      <u/>
      <sz val="12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0"/>
      <color rgb="FFFF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44"/>
      </patternFill>
    </fill>
    <fill>
      <patternFill patternType="solid">
        <fgColor indexed="26"/>
        <bgColor indexed="26"/>
      </patternFill>
    </fill>
  </fills>
  <borders count="2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2" fillId="0" borderId="0" applyNumberFormat="0" applyFill="0" applyBorder="0" applyProtection="0"/>
    <xf numFmtId="0" fontId="2" fillId="0" borderId="0" applyNumberFormat="0" applyFill="0" applyBorder="0" applyProtection="0"/>
    <xf numFmtId="0" fontId="22" fillId="0" borderId="0"/>
    <xf numFmtId="0" fontId="3" fillId="0" borderId="0"/>
  </cellStyleXfs>
  <cellXfs count="149">
    <xf numFmtId="0" fontId="0" fillId="0" borderId="0" xfId="0"/>
    <xf numFmtId="0" fontId="0" fillId="0" borderId="0" xfId="0" applyAlignment="1">
      <alignment horizontal="right"/>
    </xf>
    <xf numFmtId="0" fontId="2" fillId="0" borderId="0" xfId="1" applyFont="1"/>
    <xf numFmtId="0" fontId="4" fillId="0" borderId="0" xfId="4" applyFont="1"/>
    <xf numFmtId="0" fontId="5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2" borderId="2" xfId="0" applyFont="1" applyFill="1" applyBorder="1"/>
    <xf numFmtId="0" fontId="8" fillId="2" borderId="2" xfId="0" applyFont="1" applyFill="1" applyBorder="1" applyAlignment="1">
      <alignment horizontal="center"/>
    </xf>
    <xf numFmtId="0" fontId="8" fillId="0" borderId="3" xfId="0" applyFont="1" applyBorder="1"/>
    <xf numFmtId="0" fontId="8" fillId="0" borderId="3" xfId="0" applyFont="1" applyBorder="1" applyAlignment="1">
      <alignment horizontal="center"/>
    </xf>
    <xf numFmtId="0" fontId="8" fillId="0" borderId="4" xfId="0" applyFont="1" applyBorder="1"/>
    <xf numFmtId="0" fontId="4" fillId="0" borderId="5" xfId="0" applyFont="1" applyBorder="1"/>
    <xf numFmtId="164" fontId="4" fillId="0" borderId="5" xfId="0" applyNumberFormat="1" applyFont="1" applyBorder="1"/>
    <xf numFmtId="0" fontId="8" fillId="0" borderId="6" xfId="0" applyFont="1" applyBorder="1" applyAlignment="1">
      <alignment horizontal="left" indent="3"/>
    </xf>
    <xf numFmtId="0" fontId="8" fillId="0" borderId="6" xfId="0" applyFont="1" applyBorder="1"/>
    <xf numFmtId="0" fontId="8" fillId="0" borderId="5" xfId="0" applyFont="1" applyBorder="1"/>
    <xf numFmtId="0" fontId="8" fillId="0" borderId="5" xfId="0" applyFont="1" applyBorder="1" applyAlignment="1">
      <alignment horizontal="left" indent="1"/>
    </xf>
    <xf numFmtId="165" fontId="8" fillId="0" borderId="5" xfId="0" applyNumberFormat="1" applyFont="1" applyBorder="1"/>
    <xf numFmtId="164" fontId="8" fillId="0" borderId="5" xfId="0" applyNumberFormat="1" applyFont="1" applyBorder="1"/>
    <xf numFmtId="0" fontId="8" fillId="0" borderId="6" xfId="0" applyFont="1" applyBorder="1" applyAlignment="1">
      <alignment horizontal="left" wrapText="1" indent="1"/>
    </xf>
    <xf numFmtId="165" fontId="8" fillId="0" borderId="6" xfId="0" applyNumberFormat="1" applyFont="1" applyBorder="1"/>
    <xf numFmtId="0" fontId="10" fillId="0" borderId="6" xfId="0" applyFont="1" applyBorder="1" applyAlignment="1">
      <alignment horizontal="left" indent="1"/>
    </xf>
    <xf numFmtId="165" fontId="8" fillId="0" borderId="7" xfId="0" applyNumberFormat="1" applyFont="1" applyBorder="1"/>
    <xf numFmtId="165" fontId="8" fillId="0" borderId="8" xfId="0" applyNumberFormat="1" applyFont="1" applyBorder="1"/>
    <xf numFmtId="0" fontId="10" fillId="0" borderId="5" xfId="0" applyFont="1" applyBorder="1" applyAlignment="1">
      <alignment horizontal="left" indent="1"/>
    </xf>
    <xf numFmtId="0" fontId="8" fillId="0" borderId="6" xfId="0" applyFont="1" applyBorder="1" applyAlignment="1">
      <alignment horizontal="right"/>
    </xf>
    <xf numFmtId="0" fontId="8" fillId="0" borderId="5" xfId="0" applyFont="1" applyBorder="1" applyAlignment="1">
      <alignment horizontal="right"/>
    </xf>
    <xf numFmtId="0" fontId="10" fillId="0" borderId="9" xfId="0" applyFont="1" applyBorder="1" applyAlignment="1">
      <alignment horizontal="left" indent="1"/>
    </xf>
    <xf numFmtId="164" fontId="8" fillId="0" borderId="9" xfId="0" applyNumberFormat="1" applyFont="1" applyBorder="1"/>
    <xf numFmtId="0" fontId="8" fillId="0" borderId="9" xfId="0" applyFont="1" applyBorder="1"/>
    <xf numFmtId="0" fontId="8" fillId="0" borderId="10" xfId="0" applyFont="1" applyBorder="1"/>
    <xf numFmtId="164" fontId="8" fillId="0" borderId="10" xfId="0" applyNumberFormat="1" applyFont="1" applyBorder="1"/>
    <xf numFmtId="0" fontId="10" fillId="0" borderId="0" xfId="0" applyFont="1" applyAlignment="1">
      <alignment horizontal="left" indent="1"/>
    </xf>
    <xf numFmtId="164" fontId="8" fillId="0" borderId="0" xfId="0" applyNumberFormat="1" applyFont="1"/>
    <xf numFmtId="165" fontId="11" fillId="0" borderId="0" xfId="0" applyNumberFormat="1" applyFont="1"/>
    <xf numFmtId="0" fontId="10" fillId="0" borderId="0" xfId="0" applyFont="1"/>
    <xf numFmtId="0" fontId="5" fillId="0" borderId="0" xfId="0" applyFont="1"/>
    <xf numFmtId="0" fontId="0" fillId="0" borderId="0" xfId="0"/>
    <xf numFmtId="0" fontId="12" fillId="0" borderId="2" xfId="0" applyFont="1" applyBorder="1" applyAlignment="1">
      <alignment horizontal="center" vertical="center"/>
    </xf>
    <xf numFmtId="0" fontId="7" fillId="0" borderId="3" xfId="0" applyFont="1" applyBorder="1"/>
    <xf numFmtId="0" fontId="12" fillId="0" borderId="13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1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164" fontId="12" fillId="0" borderId="15" xfId="0" applyNumberFormat="1" applyFont="1" applyBorder="1"/>
    <xf numFmtId="164" fontId="12" fillId="0" borderId="7" xfId="0" applyNumberFormat="1" applyFont="1" applyBorder="1"/>
    <xf numFmtId="164" fontId="12" fillId="0" borderId="16" xfId="0" applyNumberFormat="1" applyFont="1" applyBorder="1"/>
    <xf numFmtId="0" fontId="7" fillId="0" borderId="17" xfId="0" applyFont="1" applyBorder="1"/>
    <xf numFmtId="0" fontId="7" fillId="0" borderId="5" xfId="0" applyFont="1" applyBorder="1"/>
    <xf numFmtId="0" fontId="7" fillId="0" borderId="18" xfId="0" applyFont="1" applyBorder="1"/>
    <xf numFmtId="0" fontId="7" fillId="0" borderId="5" xfId="0" applyFont="1" applyBorder="1" applyAlignment="1">
      <alignment horizontal="left" indent="1"/>
    </xf>
    <xf numFmtId="164" fontId="7" fillId="0" borderId="17" xfId="0" applyNumberFormat="1" applyFont="1" applyBorder="1"/>
    <xf numFmtId="164" fontId="7" fillId="0" borderId="5" xfId="0" applyNumberFormat="1" applyFont="1" applyBorder="1"/>
    <xf numFmtId="164" fontId="7" fillId="0" borderId="18" xfId="0" applyNumberFormat="1" applyFont="1" applyBorder="1"/>
    <xf numFmtId="0" fontId="7" fillId="0" borderId="10" xfId="0" applyFont="1" applyBorder="1" applyAlignment="1">
      <alignment horizontal="left" indent="1"/>
    </xf>
    <xf numFmtId="164" fontId="7" fillId="0" borderId="19" xfId="0" applyNumberFormat="1" applyFont="1" applyBorder="1"/>
    <xf numFmtId="164" fontId="7" fillId="0" borderId="10" xfId="0" applyNumberFormat="1" applyFont="1" applyBorder="1"/>
    <xf numFmtId="0" fontId="7" fillId="0" borderId="10" xfId="0" applyFont="1" applyBorder="1"/>
    <xf numFmtId="0" fontId="7" fillId="0" borderId="20" xfId="0" applyFont="1" applyBorder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2" xfId="0" applyFont="1" applyBorder="1" applyAlignment="1">
      <alignment horizontal="center" vertical="center" wrapText="1"/>
    </xf>
    <xf numFmtId="0" fontId="17" fillId="0" borderId="0" xfId="0" applyFont="1"/>
    <xf numFmtId="0" fontId="18" fillId="0" borderId="0" xfId="0" applyFont="1" applyAlignment="1">
      <alignment horizontal="center"/>
    </xf>
    <xf numFmtId="0" fontId="18" fillId="0" borderId="0" xfId="0" applyFont="1"/>
    <xf numFmtId="0" fontId="18" fillId="0" borderId="21" xfId="0" applyFont="1" applyBorder="1"/>
    <xf numFmtId="0" fontId="20" fillId="0" borderId="0" xfId="0" applyFont="1"/>
    <xf numFmtId="0" fontId="18" fillId="0" borderId="2" xfId="0" applyFont="1" applyBorder="1" applyAlignment="1">
      <alignment horizontal="center" vertical="center" wrapText="1"/>
    </xf>
    <xf numFmtId="166" fontId="13" fillId="3" borderId="23" xfId="0" applyNumberFormat="1" applyFont="1" applyFill="1" applyBorder="1" applyAlignment="1">
      <alignment vertical="center"/>
    </xf>
    <xf numFmtId="166" fontId="13" fillId="3" borderId="0" xfId="0" applyNumberFormat="1" applyFont="1" applyFill="1" applyAlignment="1">
      <alignment vertical="center"/>
    </xf>
    <xf numFmtId="166" fontId="13" fillId="3" borderId="8" xfId="0" applyNumberFormat="1" applyFont="1" applyFill="1" applyBorder="1" applyAlignment="1">
      <alignment vertical="center"/>
    </xf>
    <xf numFmtId="166" fontId="13" fillId="3" borderId="1" xfId="0" applyNumberFormat="1" applyFont="1" applyFill="1" applyBorder="1" applyAlignment="1">
      <alignment vertical="center"/>
    </xf>
    <xf numFmtId="166" fontId="13" fillId="3" borderId="25" xfId="0" applyNumberFormat="1" applyFont="1" applyFill="1" applyBorder="1" applyAlignment="1">
      <alignment vertical="center"/>
    </xf>
    <xf numFmtId="0" fontId="13" fillId="0" borderId="22" xfId="0" applyFont="1" applyBorder="1" applyAlignment="1">
      <alignment horizontal="left" vertical="center" wrapText="1" indent="1"/>
    </xf>
    <xf numFmtId="0" fontId="17" fillId="0" borderId="3" xfId="0" applyFont="1" applyBorder="1" applyAlignment="1">
      <alignment horizontal="center" wrapText="1"/>
    </xf>
    <xf numFmtId="166" fontId="13" fillId="0" borderId="13" xfId="0" applyNumberFormat="1" applyFont="1" applyBorder="1" applyProtection="1">
      <protection locked="0"/>
    </xf>
    <xf numFmtId="166" fontId="13" fillId="0" borderId="13" xfId="0" applyNumberFormat="1" applyFont="1" applyBorder="1" applyAlignment="1" applyProtection="1">
      <alignment horizontal="right"/>
      <protection locked="0"/>
    </xf>
    <xf numFmtId="166" fontId="13" fillId="0" borderId="14" xfId="0" applyNumberFormat="1" applyFont="1" applyBorder="1" applyAlignment="1" applyProtection="1">
      <alignment horizontal="right"/>
      <protection locked="0"/>
    </xf>
    <xf numFmtId="0" fontId="13" fillId="0" borderId="23" xfId="0" applyFont="1" applyBorder="1"/>
    <xf numFmtId="0" fontId="16" fillId="0" borderId="6" xfId="0" applyFont="1" applyBorder="1" applyAlignment="1">
      <alignment horizontal="center"/>
    </xf>
    <xf numFmtId="166" fontId="13" fillId="0" borderId="0" xfId="0" applyNumberFormat="1" applyFont="1" applyProtection="1">
      <protection locked="0"/>
    </xf>
    <xf numFmtId="166" fontId="13" fillId="0" borderId="8" xfId="0" applyNumberFormat="1" applyFont="1" applyBorder="1" applyProtection="1">
      <protection locked="0"/>
    </xf>
    <xf numFmtId="0" fontId="18" fillId="0" borderId="6" xfId="0" applyFont="1" applyBorder="1" applyAlignment="1">
      <alignment horizontal="center"/>
    </xf>
    <xf numFmtId="166" fontId="13" fillId="0" borderId="0" xfId="0" applyNumberFormat="1" applyFont="1" applyAlignment="1" applyProtection="1">
      <alignment horizontal="right"/>
      <protection locked="0"/>
    </xf>
    <xf numFmtId="166" fontId="13" fillId="0" borderId="8" xfId="0" applyNumberFormat="1" applyFont="1" applyBorder="1" applyAlignment="1" applyProtection="1">
      <alignment horizontal="right"/>
      <protection locked="0"/>
    </xf>
    <xf numFmtId="167" fontId="13" fillId="0" borderId="0" xfId="0" applyNumberFormat="1" applyFont="1" applyAlignment="1" applyProtection="1">
      <alignment horizontal="right"/>
      <protection locked="0"/>
    </xf>
    <xf numFmtId="167" fontId="13" fillId="0" borderId="8" xfId="0" applyNumberFormat="1" applyFont="1" applyBorder="1" applyAlignment="1" applyProtection="1">
      <alignment horizontal="right"/>
      <protection locked="0"/>
    </xf>
    <xf numFmtId="166" fontId="13" fillId="0" borderId="23" xfId="0" applyNumberFormat="1" applyFont="1" applyBorder="1" applyProtection="1">
      <protection locked="0"/>
    </xf>
    <xf numFmtId="0" fontId="18" fillId="0" borderId="24" xfId="0" applyFont="1" applyBorder="1"/>
    <xf numFmtId="0" fontId="16" fillId="0" borderId="9" xfId="0" applyFont="1" applyBorder="1" applyAlignment="1">
      <alignment horizontal="center"/>
    </xf>
    <xf numFmtId="0" fontId="21" fillId="0" borderId="0" xfId="0" applyFont="1"/>
    <xf numFmtId="0" fontId="13" fillId="0" borderId="0" xfId="0" applyFont="1" applyAlignment="1">
      <alignment horizontal="left" vertical="center"/>
    </xf>
    <xf numFmtId="0" fontId="28" fillId="0" borderId="0" xfId="1" applyFont="1"/>
    <xf numFmtId="0" fontId="29" fillId="0" borderId="0" xfId="0" applyFont="1"/>
    <xf numFmtId="0" fontId="29" fillId="0" borderId="0" xfId="0" applyFont="1" applyAlignment="1">
      <alignment horizontal="right"/>
    </xf>
    <xf numFmtId="0" fontId="28" fillId="0" borderId="0" xfId="1" applyFont="1" applyAlignment="1">
      <alignment horizontal="left"/>
    </xf>
    <xf numFmtId="0" fontId="30" fillId="0" borderId="0" xfId="0" applyFont="1"/>
    <xf numFmtId="0" fontId="28" fillId="0" borderId="0" xfId="1" applyFont="1" applyFill="1" applyAlignment="1">
      <alignment horizontal="left"/>
    </xf>
    <xf numFmtId="0" fontId="30" fillId="0" borderId="0" xfId="0" applyFont="1" applyFill="1"/>
    <xf numFmtId="0" fontId="31" fillId="0" borderId="0" xfId="0" applyFont="1" applyFill="1"/>
    <xf numFmtId="0" fontId="7" fillId="0" borderId="0" xfId="0" applyFont="1" applyFill="1"/>
    <xf numFmtId="0" fontId="1" fillId="0" borderId="0" xfId="0" applyFont="1"/>
    <xf numFmtId="0" fontId="12" fillId="0" borderId="12" xfId="0" applyFont="1" applyBorder="1" applyAlignment="1">
      <alignment horizontal="center" vertical="center"/>
    </xf>
    <xf numFmtId="0" fontId="12" fillId="0" borderId="7" xfId="0" applyFont="1" applyBorder="1"/>
    <xf numFmtId="0" fontId="7" fillId="0" borderId="5" xfId="0" applyFont="1" applyBorder="1" applyAlignment="1">
      <alignment horizontal="left" indent="3"/>
    </xf>
    <xf numFmtId="0" fontId="7" fillId="0" borderId="2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6" fontId="13" fillId="0" borderId="0" xfId="0" applyNumberFormat="1" applyFont="1" applyFill="1" applyProtection="1">
      <protection locked="0"/>
    </xf>
    <xf numFmtId="166" fontId="13" fillId="0" borderId="8" xfId="0" applyNumberFormat="1" applyFont="1" applyFill="1" applyBorder="1" applyProtection="1">
      <protection locked="0"/>
    </xf>
    <xf numFmtId="166" fontId="13" fillId="0" borderId="0" xfId="0" applyNumberFormat="1" applyFont="1"/>
    <xf numFmtId="166" fontId="13" fillId="0" borderId="1" xfId="0" applyNumberFormat="1" applyFont="1" applyFill="1" applyBorder="1" applyProtection="1">
      <protection locked="0"/>
    </xf>
    <xf numFmtId="0" fontId="13" fillId="0" borderId="0" xfId="0" applyFont="1" applyFill="1"/>
    <xf numFmtId="0" fontId="13" fillId="0" borderId="0" xfId="0" applyFont="1" applyAlignment="1">
      <alignment horizontal="left"/>
    </xf>
    <xf numFmtId="166" fontId="13" fillId="0" borderId="24" xfId="0" applyNumberFormat="1" applyFont="1" applyFill="1" applyBorder="1" applyProtection="1">
      <protection locked="0"/>
    </xf>
    <xf numFmtId="166" fontId="13" fillId="0" borderId="25" xfId="0" applyNumberFormat="1" applyFont="1" applyFill="1" applyBorder="1" applyProtection="1">
      <protection locked="0"/>
    </xf>
    <xf numFmtId="166" fontId="32" fillId="0" borderId="0" xfId="0" applyNumberFormat="1" applyFont="1" applyFill="1" applyProtection="1">
      <protection locked="0"/>
    </xf>
    <xf numFmtId="0" fontId="29" fillId="0" borderId="0" xfId="0" applyFont="1" applyAlignment="1">
      <alignment horizontal="left"/>
    </xf>
    <xf numFmtId="0" fontId="28" fillId="0" borderId="0" xfId="1" applyFont="1" applyAlignment="1">
      <alignment horizontal="left"/>
    </xf>
    <xf numFmtId="0" fontId="9" fillId="0" borderId="0" xfId="0" applyFont="1" applyFill="1" applyAlignment="1">
      <alignment horizontal="center"/>
    </xf>
    <xf numFmtId="0" fontId="8" fillId="0" borderId="0" xfId="0" applyFont="1" applyAlignment="1">
      <alignment horizontal="left"/>
    </xf>
    <xf numFmtId="0" fontId="10" fillId="0" borderId="0" xfId="0" applyFont="1" applyAlignment="1">
      <alignment horizontal="left" wrapText="1"/>
    </xf>
    <xf numFmtId="0" fontId="8" fillId="0" borderId="0" xfId="0" applyFont="1" applyFill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1" xfId="0" applyFont="1" applyFill="1" applyBorder="1" applyAlignment="1">
      <alignment horizontal="right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2" fillId="0" borderId="0" xfId="0" applyFont="1" applyFill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166" fontId="19" fillId="3" borderId="22" xfId="0" applyNumberFormat="1" applyFont="1" applyFill="1" applyBorder="1" applyAlignment="1">
      <alignment vertical="center"/>
    </xf>
    <xf numFmtId="166" fontId="19" fillId="3" borderId="13" xfId="0" applyNumberFormat="1" applyFont="1" applyFill="1" applyBorder="1" applyAlignment="1">
      <alignment vertical="center"/>
    </xf>
    <xf numFmtId="166" fontId="19" fillId="3" borderId="14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166" fontId="19" fillId="3" borderId="23" xfId="0" applyNumberFormat="1" applyFont="1" applyFill="1" applyBorder="1" applyAlignment="1">
      <alignment vertical="center"/>
    </xf>
    <xf numFmtId="166" fontId="19" fillId="3" borderId="0" xfId="0" applyNumberFormat="1" applyFont="1" applyFill="1" applyAlignment="1">
      <alignment vertical="center"/>
    </xf>
    <xf numFmtId="166" fontId="19" fillId="3" borderId="8" xfId="0" applyNumberFormat="1" applyFont="1" applyFill="1" applyBorder="1" applyAlignment="1">
      <alignment vertical="center"/>
    </xf>
    <xf numFmtId="0" fontId="20" fillId="0" borderId="0" xfId="0" applyFont="1" applyAlignment="1">
      <alignment vertical="center"/>
    </xf>
    <xf numFmtId="166" fontId="33" fillId="3" borderId="23" xfId="0" applyNumberFormat="1" applyFont="1" applyFill="1" applyBorder="1" applyAlignment="1">
      <alignment vertical="center"/>
    </xf>
  </cellXfs>
  <cellStyles count="5">
    <cellStyle name="Гиперссылка" xfId="1" builtinId="8"/>
    <cellStyle name="Гиперссылка 2" xfId="2"/>
    <cellStyle name="Обычный" xfId="0" builtinId="0"/>
    <cellStyle name="Обычный 2" xfId="3"/>
    <cellStyle name="Обычный 2 2" xfId="4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Структура пассажирооборота по видам транспорта по Российской Федерации, %</a:t>
            </a:r>
          </a:p>
        </c:rich>
      </c:tx>
      <c:layout>
        <c:manualLayout>
          <c:xMode val="edge"/>
          <c:yMode val="edge"/>
          <c:x val="0.160385"/>
          <c:y val="1.7638999999999998E-2"/>
        </c:manualLayout>
      </c:layout>
      <c:overlay val="0"/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'2'!$A$9</c:f>
              <c:strCache>
                <c:ptCount val="1"/>
                <c:pt idx="0">
                  <c:v>железнодорожный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i="0" u="none" strike="noStrik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'2'!$B$5:$Z$5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'2'!$B$9:$Z$9</c:f>
              <c:numCache>
                <c:formatCode>0.0</c:formatCode>
                <c:ptCount val="25"/>
                <c:pt idx="0">
                  <c:v>33.700000000000003</c:v>
                </c:pt>
                <c:pt idx="1">
                  <c:v>32</c:v>
                </c:pt>
                <c:pt idx="2">
                  <c:v>31.3</c:v>
                </c:pt>
                <c:pt idx="3">
                  <c:v>32.1</c:v>
                </c:pt>
                <c:pt idx="4">
                  <c:v>32.299999999999997</c:v>
                </c:pt>
                <c:pt idx="5">
                  <c:v>36.4</c:v>
                </c:pt>
                <c:pt idx="6">
                  <c:v>37.299999999999997</c:v>
                </c:pt>
                <c:pt idx="7">
                  <c:v>35</c:v>
                </c:pt>
                <c:pt idx="8">
                  <c:v>34.299999999999997</c:v>
                </c:pt>
                <c:pt idx="9">
                  <c:v>32.6</c:v>
                </c:pt>
                <c:pt idx="10">
                  <c:v>28.7</c:v>
                </c:pt>
                <c:pt idx="11">
                  <c:v>27.8</c:v>
                </c:pt>
                <c:pt idx="12">
                  <c:v>27.2</c:v>
                </c:pt>
                <c:pt idx="13">
                  <c:v>25.3</c:v>
                </c:pt>
                <c:pt idx="14">
                  <c:v>23.4</c:v>
                </c:pt>
                <c:pt idx="15">
                  <c:v>22.8</c:v>
                </c:pt>
                <c:pt idx="16">
                  <c:v>24</c:v>
                </c:pt>
                <c:pt idx="17">
                  <c:v>22</c:v>
                </c:pt>
                <c:pt idx="18">
                  <c:v>21.8</c:v>
                </c:pt>
                <c:pt idx="19">
                  <c:v>21</c:v>
                </c:pt>
                <c:pt idx="20">
                  <c:v>22</c:v>
                </c:pt>
                <c:pt idx="21">
                  <c:v>21.1</c:v>
                </c:pt>
                <c:pt idx="22">
                  <c:v>24.4</c:v>
                </c:pt>
                <c:pt idx="23">
                  <c:v>24.5</c:v>
                </c:pt>
                <c:pt idx="24">
                  <c:v>24.3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9D-4BAC-8EAD-11355C1FF4F9}"/>
            </c:ext>
          </c:extLst>
        </c:ser>
        <c:ser>
          <c:idx val="1"/>
          <c:order val="1"/>
          <c:tx>
            <c:strRef>
              <c:f>'2'!$A$10</c:f>
              <c:strCache>
                <c:ptCount val="1"/>
                <c:pt idx="0">
                  <c:v>воздушный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i="0" u="none" strike="noStrik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'2'!$B$5:$Z$5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'2'!$B$10:$Z$10</c:f>
              <c:numCache>
                <c:formatCode>0.0</c:formatCode>
                <c:ptCount val="25"/>
                <c:pt idx="0">
                  <c:v>10.9</c:v>
                </c:pt>
                <c:pt idx="1">
                  <c:v>12.3</c:v>
                </c:pt>
                <c:pt idx="2">
                  <c:v>13.2</c:v>
                </c:pt>
                <c:pt idx="3">
                  <c:v>14.5</c:v>
                </c:pt>
                <c:pt idx="4">
                  <c:v>16.3</c:v>
                </c:pt>
                <c:pt idx="5">
                  <c:v>18.100000000000001</c:v>
                </c:pt>
                <c:pt idx="6">
                  <c:v>19.8</c:v>
                </c:pt>
                <c:pt idx="7">
                  <c:v>22.400000000000002</c:v>
                </c:pt>
                <c:pt idx="8">
                  <c:v>24</c:v>
                </c:pt>
                <c:pt idx="9">
                  <c:v>24.3</c:v>
                </c:pt>
                <c:pt idx="10">
                  <c:v>30.4</c:v>
                </c:pt>
                <c:pt idx="11">
                  <c:v>33.300000000000004</c:v>
                </c:pt>
                <c:pt idx="12">
                  <c:v>36.799999999999997</c:v>
                </c:pt>
                <c:pt idx="13">
                  <c:v>41.300000000000004</c:v>
                </c:pt>
                <c:pt idx="14">
                  <c:v>43.4</c:v>
                </c:pt>
                <c:pt idx="15">
                  <c:v>42.8</c:v>
                </c:pt>
                <c:pt idx="16">
                  <c:v>41.6</c:v>
                </c:pt>
                <c:pt idx="17">
                  <c:v>46.3</c:v>
                </c:pt>
                <c:pt idx="18">
                  <c:v>48.4</c:v>
                </c:pt>
                <c:pt idx="19" formatCode="General">
                  <c:v>50.8</c:v>
                </c:pt>
                <c:pt idx="20" formatCode="General">
                  <c:v>42.9</c:v>
                </c:pt>
                <c:pt idx="21" formatCode="General">
                  <c:v>49.4</c:v>
                </c:pt>
                <c:pt idx="22" formatCode="General">
                  <c:v>44.9</c:v>
                </c:pt>
                <c:pt idx="23" formatCode="General">
                  <c:v>46.9</c:v>
                </c:pt>
                <c:pt idx="24" formatCode="General">
                  <c:v>47.8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9D-4BAC-8EAD-11355C1FF4F9}"/>
            </c:ext>
          </c:extLst>
        </c:ser>
        <c:ser>
          <c:idx val="2"/>
          <c:order val="2"/>
          <c:tx>
            <c:strRef>
              <c:f>'2'!$A$11</c:f>
              <c:strCache>
                <c:ptCount val="1"/>
                <c:pt idx="0">
                  <c:v>автомобильный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i="0" u="none" strike="noStrik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'2'!$B$5:$Z$5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'2'!$B$11:$Z$11</c:f>
              <c:numCache>
                <c:formatCode>0.0</c:formatCode>
                <c:ptCount val="25"/>
                <c:pt idx="0">
                  <c:v>35</c:v>
                </c:pt>
                <c:pt idx="1">
                  <c:v>34.799999999999997</c:v>
                </c:pt>
                <c:pt idx="2">
                  <c:v>34.9</c:v>
                </c:pt>
                <c:pt idx="3">
                  <c:v>33.799999999999997</c:v>
                </c:pt>
                <c:pt idx="4">
                  <c:v>33.200000000000003</c:v>
                </c:pt>
                <c:pt idx="5">
                  <c:v>30.1</c:v>
                </c:pt>
                <c:pt idx="6">
                  <c:v>28.5</c:v>
                </c:pt>
                <c:pt idx="7">
                  <c:v>30.1</c:v>
                </c:pt>
                <c:pt idx="8">
                  <c:v>29.7</c:v>
                </c:pt>
                <c:pt idx="9">
                  <c:v>30.5</c:v>
                </c:pt>
                <c:pt idx="10">
                  <c:v>29.1</c:v>
                </c:pt>
                <c:pt idx="11">
                  <c:v>27.6</c:v>
                </c:pt>
                <c:pt idx="12">
                  <c:v>25</c:v>
                </c:pt>
                <c:pt idx="13">
                  <c:v>23</c:v>
                </c:pt>
                <c:pt idx="14">
                  <c:v>22.9</c:v>
                </c:pt>
                <c:pt idx="15">
                  <c:v>23.9</c:v>
                </c:pt>
                <c:pt idx="16">
                  <c:v>23.9</c:v>
                </c:pt>
                <c:pt idx="17">
                  <c:v>22</c:v>
                </c:pt>
                <c:pt idx="18">
                  <c:v>20.6</c:v>
                </c:pt>
                <c:pt idx="19" formatCode="General">
                  <c:v>19.3</c:v>
                </c:pt>
                <c:pt idx="20" formatCode="General">
                  <c:v>24.8</c:v>
                </c:pt>
                <c:pt idx="21" formatCode="General">
                  <c:v>20.5</c:v>
                </c:pt>
                <c:pt idx="22" formatCode="General">
                  <c:v>21.5</c:v>
                </c:pt>
                <c:pt idx="23">
                  <c:v>20</c:v>
                </c:pt>
                <c:pt idx="24">
                  <c:v>19.5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9D-4BAC-8EAD-11355C1FF4F9}"/>
            </c:ext>
          </c:extLst>
        </c:ser>
        <c:ser>
          <c:idx val="3"/>
          <c:order val="3"/>
          <c:tx>
            <c:strRef>
              <c:f>'2'!$A$12</c:f>
              <c:strCache>
                <c:ptCount val="1"/>
                <c:pt idx="0">
                  <c:v>водный</c:v>
                </c:pt>
              </c:strCache>
            </c:strRef>
          </c:tx>
          <c:spPr>
            <a:solidFill>
              <a:srgbClr val="FFFF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i="0" u="none" strike="noStrik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'2'!$B$5:$Z$5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'2'!$B$12:$Z$12</c:f>
              <c:numCache>
                <c:formatCode>0.0</c:formatCode>
                <c:ptCount val="25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 formatCode="General">
                  <c:v>0.1</c:v>
                </c:pt>
                <c:pt idx="20" formatCode="General">
                  <c:v>0.1</c:v>
                </c:pt>
                <c:pt idx="21" formatCode="General">
                  <c:v>0.1</c:v>
                </c:pt>
                <c:pt idx="22" formatCode="General">
                  <c:v>0.1</c:v>
                </c:pt>
                <c:pt idx="23" formatCode="General">
                  <c:v>0.1</c:v>
                </c:pt>
                <c:pt idx="24" formatCode="General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9D-4BAC-8EAD-11355C1FF4F9}"/>
            </c:ext>
          </c:extLst>
        </c:ser>
        <c:ser>
          <c:idx val="4"/>
          <c:order val="4"/>
          <c:tx>
            <c:strRef>
              <c:f>'2'!$A$13</c:f>
              <c:strCache>
                <c:ptCount val="1"/>
                <c:pt idx="0">
                  <c:v>городской электрический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i="0" u="none" strike="noStrik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'2'!$B$5:$Z$5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'2'!$B$13:$Z$13</c:f>
              <c:numCache>
                <c:formatCode>0.0</c:formatCode>
                <c:ptCount val="25"/>
                <c:pt idx="0">
                  <c:v>20.2</c:v>
                </c:pt>
                <c:pt idx="1">
                  <c:v>20.7</c:v>
                </c:pt>
                <c:pt idx="2">
                  <c:v>20.399999999999999</c:v>
                </c:pt>
                <c:pt idx="3">
                  <c:v>19.399999999999999</c:v>
                </c:pt>
                <c:pt idx="4">
                  <c:v>18</c:v>
                </c:pt>
                <c:pt idx="5">
                  <c:v>15.2</c:v>
                </c:pt>
                <c:pt idx="6">
                  <c:v>14.2</c:v>
                </c:pt>
                <c:pt idx="7">
                  <c:v>12.3</c:v>
                </c:pt>
                <c:pt idx="8">
                  <c:v>11.8</c:v>
                </c:pt>
                <c:pt idx="9">
                  <c:v>12.4</c:v>
                </c:pt>
                <c:pt idx="10">
                  <c:v>11.6</c:v>
                </c:pt>
                <c:pt idx="11">
                  <c:v>11.2</c:v>
                </c:pt>
                <c:pt idx="12">
                  <c:v>10.9</c:v>
                </c:pt>
                <c:pt idx="13">
                  <c:v>10.3</c:v>
                </c:pt>
                <c:pt idx="14">
                  <c:v>10.199999999999999</c:v>
                </c:pt>
                <c:pt idx="15">
                  <c:v>10.4</c:v>
                </c:pt>
                <c:pt idx="16">
                  <c:v>10.4</c:v>
                </c:pt>
                <c:pt idx="17">
                  <c:v>9.6000000000000014</c:v>
                </c:pt>
                <c:pt idx="18">
                  <c:v>9.1</c:v>
                </c:pt>
                <c:pt idx="19" formatCode="General">
                  <c:v>8.8000000000000007</c:v>
                </c:pt>
                <c:pt idx="20" formatCode="General">
                  <c:v>10.199999999999999</c:v>
                </c:pt>
                <c:pt idx="21" formatCode="General">
                  <c:v>8.9</c:v>
                </c:pt>
                <c:pt idx="22" formatCode="General">
                  <c:v>9.1</c:v>
                </c:pt>
                <c:pt idx="23" formatCode="General">
                  <c:v>8.5</c:v>
                </c:pt>
                <c:pt idx="24" formatCode="General">
                  <c:v>8.3000000000000007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9D-4BAC-8EAD-11355C1FF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38996736"/>
        <c:axId val="174725888"/>
      </c:barChart>
      <c:catAx>
        <c:axId val="138996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74725888"/>
        <c:crosses val="autoZero"/>
        <c:auto val="1"/>
        <c:lblAlgn val="ctr"/>
        <c:lblOffset val="100"/>
        <c:noMultiLvlLbl val="0"/>
      </c:catAx>
      <c:valAx>
        <c:axId val="17472588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3899673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4.260017577754998E-2"/>
          <c:y val="0.96289555541094551"/>
          <c:w val="0.93671145532010047"/>
          <c:h val="2.8289017591809292E-2"/>
        </c:manualLayout>
      </c:layout>
      <c:overlay val="0"/>
      <c:txPr>
        <a:bodyPr/>
        <a:lstStyle/>
        <a:p>
          <a:pPr>
            <a:defRPr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392156</xdr:colOff>
      <xdr:row>3</xdr:row>
      <xdr:rowOff>179917</xdr:rowOff>
    </xdr:from>
    <xdr:ext cx="259430" cy="195565"/>
    <xdr:sp macro="" textlink="">
      <xdr:nvSpPr>
        <xdr:cNvPr id="6" name="TextBox 5"/>
        <xdr:cNvSpPr txBox="1"/>
      </xdr:nvSpPr>
      <xdr:spPr bwMode="auto">
        <a:xfrm>
          <a:off x="17293739" y="751417"/>
          <a:ext cx="259430" cy="19556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r>
            <a:rPr lang="ru-RU" sz="700">
              <a:latin typeface="Times New Roman"/>
              <a:cs typeface="Times New Roman"/>
            </a:rPr>
            <a:t>1)</a:t>
          </a:r>
          <a:endParaRPr lang="ru-RU" sz="1050">
            <a:latin typeface="Times New Roman"/>
            <a:cs typeface="Times New Roman"/>
          </a:endParaRPr>
        </a:p>
      </xdr:txBody>
    </xdr:sp>
    <xdr:clientData/>
  </xdr:oneCellAnchor>
  <xdr:oneCellAnchor>
    <xdr:from>
      <xdr:col>25</xdr:col>
      <xdr:colOff>392154</xdr:colOff>
      <xdr:row>4</xdr:row>
      <xdr:rowOff>0</xdr:rowOff>
    </xdr:from>
    <xdr:ext cx="259430" cy="195565"/>
    <xdr:sp macro="" textlink="">
      <xdr:nvSpPr>
        <xdr:cNvPr id="7" name="TextBox 6"/>
        <xdr:cNvSpPr txBox="1"/>
      </xdr:nvSpPr>
      <xdr:spPr bwMode="auto">
        <a:xfrm>
          <a:off x="17939321" y="762000"/>
          <a:ext cx="259430" cy="19556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r>
            <a:rPr lang="ru-RU" sz="700">
              <a:latin typeface="Times New Roman"/>
              <a:cs typeface="Times New Roman"/>
            </a:rPr>
            <a:t>1)</a:t>
          </a:r>
          <a:endParaRPr lang="ru-RU" sz="1050">
            <a:latin typeface="Times New Roman"/>
            <a:cs typeface="Times New Roman"/>
          </a:endParaRPr>
        </a:p>
      </xdr:txBody>
    </xdr:sp>
    <xdr:clientData/>
  </xdr:oneCellAnchor>
  <xdr:oneCellAnchor>
    <xdr:from>
      <xdr:col>23</xdr:col>
      <xdr:colOff>402173</xdr:colOff>
      <xdr:row>3</xdr:row>
      <xdr:rowOff>188829</xdr:rowOff>
    </xdr:from>
    <xdr:ext cx="259430" cy="195565"/>
    <xdr:sp macro="" textlink="">
      <xdr:nvSpPr>
        <xdr:cNvPr id="8" name="TextBox 7"/>
        <xdr:cNvSpPr txBox="1"/>
      </xdr:nvSpPr>
      <xdr:spPr bwMode="auto">
        <a:xfrm>
          <a:off x="16658173" y="760329"/>
          <a:ext cx="259430" cy="19556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r>
            <a:rPr lang="ru-RU" sz="700">
              <a:latin typeface="Times New Roman"/>
              <a:cs typeface="Times New Roman"/>
            </a:rPr>
            <a:t>1)</a:t>
          </a:r>
          <a:endParaRPr lang="ru-RU" sz="1050">
            <a:latin typeface="Times New Roman"/>
            <a:cs typeface="Times New Roman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</xdr:row>
      <xdr:rowOff>9525</xdr:rowOff>
    </xdr:from>
    <xdr:to>
      <xdr:col>22</xdr:col>
      <xdr:colOff>52917</xdr:colOff>
      <xdr:row>32</xdr:row>
      <xdr:rowOff>74083</xdr:rowOff>
    </xdr:to>
    <xdr:graphicFrame macro="">
      <xdr:nvGraphicFramePr>
        <xdr:cNvPr id="2201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21</xdr:col>
      <xdr:colOff>324914</xdr:colOff>
      <xdr:row>29</xdr:row>
      <xdr:rowOff>29635</xdr:rowOff>
    </xdr:from>
    <xdr:ext cx="259430" cy="195565"/>
    <xdr:sp macro="" textlink="">
      <xdr:nvSpPr>
        <xdr:cNvPr id="3" name="TextBox 2"/>
        <xdr:cNvSpPr txBox="1"/>
      </xdr:nvSpPr>
      <xdr:spPr bwMode="auto">
        <a:xfrm>
          <a:off x="13215414" y="5554135"/>
          <a:ext cx="259430" cy="19556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r>
            <a:rPr lang="ru-RU" sz="700">
              <a:latin typeface="Times New Roman"/>
              <a:cs typeface="Times New Roman"/>
            </a:rPr>
            <a:t>1)</a:t>
          </a:r>
          <a:endParaRPr lang="ru-RU" sz="1050">
            <a:latin typeface="Times New Roman"/>
            <a:cs typeface="Times New Roman"/>
          </a:endParaRPr>
        </a:p>
      </xdr:txBody>
    </xdr:sp>
    <xdr:clientData/>
  </xdr:oneCellAnchor>
  <xdr:oneCellAnchor>
    <xdr:from>
      <xdr:col>20</xdr:col>
      <xdr:colOff>477313</xdr:colOff>
      <xdr:row>29</xdr:row>
      <xdr:rowOff>19052</xdr:rowOff>
    </xdr:from>
    <xdr:ext cx="259430" cy="195565"/>
    <xdr:sp macro="" textlink="">
      <xdr:nvSpPr>
        <xdr:cNvPr id="4" name="TextBox 3"/>
        <xdr:cNvSpPr txBox="1"/>
      </xdr:nvSpPr>
      <xdr:spPr bwMode="auto">
        <a:xfrm>
          <a:off x="12753980" y="5543552"/>
          <a:ext cx="259430" cy="19556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r>
            <a:rPr lang="ru-RU" sz="700">
              <a:latin typeface="Times New Roman"/>
              <a:cs typeface="Times New Roman"/>
            </a:rPr>
            <a:t>1)</a:t>
          </a:r>
          <a:endParaRPr lang="ru-RU" sz="1050">
            <a:latin typeface="Times New Roman"/>
            <a:cs typeface="Times New Roman"/>
          </a:endParaRPr>
        </a:p>
      </xdr:txBody>
    </xdr:sp>
    <xdr:clientData/>
  </xdr:oneCellAnchor>
  <xdr:oneCellAnchor>
    <xdr:from>
      <xdr:col>20</xdr:col>
      <xdr:colOff>11649</xdr:colOff>
      <xdr:row>29</xdr:row>
      <xdr:rowOff>12702</xdr:rowOff>
    </xdr:from>
    <xdr:ext cx="259430" cy="195565"/>
    <xdr:sp macro="" textlink="">
      <xdr:nvSpPr>
        <xdr:cNvPr id="5" name="TextBox 4"/>
        <xdr:cNvSpPr txBox="1"/>
      </xdr:nvSpPr>
      <xdr:spPr bwMode="auto">
        <a:xfrm>
          <a:off x="12288316" y="5537202"/>
          <a:ext cx="259430" cy="19556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r>
            <a:rPr lang="ru-RU" sz="700">
              <a:latin typeface="Times New Roman"/>
              <a:cs typeface="Times New Roman"/>
            </a:rPr>
            <a:t>1)</a:t>
          </a:r>
          <a:endParaRPr lang="ru-RU" sz="1050">
            <a:latin typeface="Times New Roman"/>
            <a:cs typeface="Times New Roman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workbookViewId="0">
      <selection activeCell="B7" sqref="B7"/>
    </sheetView>
  </sheetViews>
  <sheetFormatPr defaultRowHeight="15" x14ac:dyDescent="0.25"/>
  <cols>
    <col min="12" max="12" width="12.28515625" customWidth="1"/>
    <col min="13" max="13" width="12.85546875" customWidth="1"/>
  </cols>
  <sheetData>
    <row r="1" spans="1:13" s="100" customFormat="1" x14ac:dyDescent="0.25">
      <c r="A1" s="124" t="s">
        <v>0</v>
      </c>
      <c r="B1" s="124"/>
      <c r="C1" s="124"/>
    </row>
    <row r="2" spans="1:13" s="100" customFormat="1" x14ac:dyDescent="0.25"/>
    <row r="3" spans="1:13" s="100" customFormat="1" x14ac:dyDescent="0.25">
      <c r="A3" s="101" t="s">
        <v>1</v>
      </c>
      <c r="B3" s="125" t="s">
        <v>63</v>
      </c>
      <c r="C3" s="125"/>
      <c r="D3" s="125"/>
      <c r="E3" s="125"/>
      <c r="F3" s="125"/>
      <c r="G3" s="125"/>
      <c r="H3" s="125"/>
      <c r="I3" s="125"/>
      <c r="J3" s="125"/>
      <c r="K3" s="125"/>
      <c r="L3" s="125"/>
    </row>
    <row r="4" spans="1:13" s="100" customFormat="1" x14ac:dyDescent="0.25">
      <c r="A4" s="101" t="s">
        <v>2</v>
      </c>
      <c r="B4" s="125" t="s">
        <v>64</v>
      </c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</row>
    <row r="5" spans="1:13" s="100" customFormat="1" x14ac:dyDescent="0.25">
      <c r="A5" s="101" t="s">
        <v>3</v>
      </c>
      <c r="B5" s="125" t="s">
        <v>4</v>
      </c>
      <c r="C5" s="125"/>
      <c r="D5" s="125"/>
      <c r="E5" s="125"/>
      <c r="F5" s="125"/>
      <c r="G5" s="125"/>
      <c r="H5" s="125"/>
      <c r="I5" s="102"/>
      <c r="J5" s="102"/>
      <c r="K5" s="102"/>
      <c r="L5" s="102"/>
    </row>
    <row r="6" spans="1:13" s="100" customFormat="1" x14ac:dyDescent="0.25">
      <c r="A6" s="101" t="s">
        <v>5</v>
      </c>
      <c r="B6" s="102" t="s">
        <v>67</v>
      </c>
      <c r="C6" s="102"/>
      <c r="D6" s="102"/>
      <c r="E6" s="102"/>
      <c r="F6" s="102"/>
      <c r="G6" s="102"/>
      <c r="H6" s="102"/>
      <c r="I6" s="102"/>
      <c r="J6" s="102"/>
      <c r="K6" s="102"/>
      <c r="L6" s="102"/>
    </row>
    <row r="7" spans="1:13" x14ac:dyDescent="0.25">
      <c r="A7" s="1"/>
      <c r="B7" s="2"/>
    </row>
    <row r="8" spans="1:13" x14ac:dyDescent="0.25">
      <c r="A8" s="1"/>
      <c r="B8" s="2"/>
    </row>
    <row r="9" spans="1:13" ht="14.25" customHeight="1" x14ac:dyDescent="0.25"/>
    <row r="10" spans="1:13" ht="15.75" x14ac:dyDescent="0.25">
      <c r="B10" s="3" t="s">
        <v>6</v>
      </c>
    </row>
    <row r="11" spans="1:13" ht="15.75" x14ac:dyDescent="0.25">
      <c r="B11" s="4" t="s">
        <v>7</v>
      </c>
    </row>
    <row r="12" spans="1:13" ht="15.75" x14ac:dyDescent="0.25">
      <c r="B12" s="4" t="s">
        <v>8</v>
      </c>
    </row>
    <row r="13" spans="1:13" ht="15.75" x14ac:dyDescent="0.25">
      <c r="B13" s="4"/>
    </row>
    <row r="14" spans="1:13" ht="15.75" x14ac:dyDescent="0.25">
      <c r="B14" s="3"/>
    </row>
    <row r="15" spans="1:13" ht="15.75" x14ac:dyDescent="0.25">
      <c r="B15" s="4"/>
    </row>
    <row r="16" spans="1:13" ht="15.75" x14ac:dyDescent="0.25">
      <c r="B16" s="4"/>
    </row>
  </sheetData>
  <mergeCells count="4">
    <mergeCell ref="A1:C1"/>
    <mergeCell ref="B3:L3"/>
    <mergeCell ref="B4:M4"/>
    <mergeCell ref="B5:H5"/>
  </mergeCells>
  <hyperlinks>
    <hyperlink ref="B3:L3" location="'1'!A1" display="Пассажирооборот по видам транспорта общего пользования по Российской Федерации годы (с 2000 по 2023 год)"/>
    <hyperlink ref="B4:M4" location="'2'!A1" display="Структура пассажирооборота по видам транспорта общего пользования по Российской Федерации годы (с 2000 по 2023 год)"/>
    <hyperlink ref="B5:H5" location="'3'!A1" display="Диаграмма"/>
    <hyperlink ref="B6" location="'4'!A1" display="Пассажирооборот по видам транспорта общего пользования по Российской Федерации по месяцам (оперативная информация, с 2022 года)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38"/>
  <sheetViews>
    <sheetView zoomScale="80" zoomScaleNormal="80" workbookViewId="0">
      <pane xSplit="1" ySplit="5" topLeftCell="C6" activePane="bottomRight" state="frozen"/>
      <selection pane="topRight" activeCell="B1" sqref="B1"/>
      <selection pane="bottomLeft" activeCell="A6" sqref="A6"/>
      <selection pane="bottomRight" activeCell="Z7" sqref="Z7"/>
    </sheetView>
  </sheetViews>
  <sheetFormatPr defaultRowHeight="15.75" x14ac:dyDescent="0.25"/>
  <cols>
    <col min="1" max="1" width="30.7109375" style="6" customWidth="1"/>
    <col min="2" max="15" width="9.7109375" style="6" customWidth="1"/>
    <col min="16" max="18" width="9.7109375" style="5" customWidth="1"/>
    <col min="19" max="22" width="9.7109375" style="7" customWidth="1"/>
    <col min="23" max="26" width="9.7109375" style="5" customWidth="1"/>
    <col min="27" max="16384" width="9.140625" style="5"/>
  </cols>
  <sheetData>
    <row r="1" spans="1:26" s="103" customFormat="1" x14ac:dyDescent="0.25">
      <c r="A1" s="104" t="s">
        <v>9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6"/>
      <c r="T1" s="106"/>
      <c r="U1" s="106"/>
      <c r="V1" s="106"/>
      <c r="W1" s="105"/>
      <c r="X1" s="105"/>
      <c r="Y1" s="105"/>
    </row>
    <row r="2" spans="1:26" ht="20.100000000000001" customHeight="1" x14ac:dyDescent="0.3">
      <c r="B2" s="126" t="s">
        <v>10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</row>
    <row r="3" spans="1:26" ht="15" customHeight="1" x14ac:dyDescent="0.25">
      <c r="A3" s="107"/>
      <c r="B3" s="129" t="s">
        <v>11</v>
      </c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</row>
    <row r="4" spans="1:26" ht="15" customHeight="1" x14ac:dyDescent="0.25"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spans="1:26" ht="18.75" x14ac:dyDescent="0.25">
      <c r="A5" s="9"/>
      <c r="B5" s="10">
        <v>2000</v>
      </c>
      <c r="C5" s="10">
        <v>2001</v>
      </c>
      <c r="D5" s="10">
        <v>2002</v>
      </c>
      <c r="E5" s="10">
        <v>2003</v>
      </c>
      <c r="F5" s="10">
        <v>2004</v>
      </c>
      <c r="G5" s="10">
        <v>2005</v>
      </c>
      <c r="H5" s="10">
        <v>2006</v>
      </c>
      <c r="I5" s="10">
        <v>2007</v>
      </c>
      <c r="J5" s="10">
        <v>2008</v>
      </c>
      <c r="K5" s="10">
        <v>2009</v>
      </c>
      <c r="L5" s="10">
        <v>2010</v>
      </c>
      <c r="M5" s="10">
        <v>2011</v>
      </c>
      <c r="N5" s="10">
        <v>2012</v>
      </c>
      <c r="O5" s="10">
        <v>2013</v>
      </c>
      <c r="P5" s="10">
        <v>2014</v>
      </c>
      <c r="Q5" s="10">
        <v>2015</v>
      </c>
      <c r="R5" s="10">
        <v>2016</v>
      </c>
      <c r="S5" s="10">
        <v>2017</v>
      </c>
      <c r="T5" s="10">
        <v>2018</v>
      </c>
      <c r="U5" s="10">
        <v>2019</v>
      </c>
      <c r="V5" s="10">
        <v>2020</v>
      </c>
      <c r="W5" s="10">
        <v>2021</v>
      </c>
      <c r="X5" s="10" t="s">
        <v>12</v>
      </c>
      <c r="Y5" s="10" t="s">
        <v>13</v>
      </c>
      <c r="Z5" s="10" t="s">
        <v>60</v>
      </c>
    </row>
    <row r="6" spans="1:26" ht="15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8" customHeight="1" x14ac:dyDescent="0.25">
      <c r="A7" s="14" t="s">
        <v>14</v>
      </c>
      <c r="B7" s="15">
        <v>495.2</v>
      </c>
      <c r="C7" s="15">
        <v>493.9</v>
      </c>
      <c r="D7" s="14">
        <v>489.2</v>
      </c>
      <c r="E7" s="14">
        <v>491.1</v>
      </c>
      <c r="F7" s="14">
        <v>508.5</v>
      </c>
      <c r="G7" s="14">
        <v>473.2</v>
      </c>
      <c r="H7" s="14">
        <v>476.4</v>
      </c>
      <c r="I7" s="14">
        <v>497.2</v>
      </c>
      <c r="J7" s="14">
        <v>512.1</v>
      </c>
      <c r="K7" s="14">
        <v>463.9</v>
      </c>
      <c r="L7" s="15">
        <v>483.7</v>
      </c>
      <c r="M7" s="14">
        <v>502.5</v>
      </c>
      <c r="N7" s="14">
        <v>532.20000000000005</v>
      </c>
      <c r="O7" s="15">
        <v>547</v>
      </c>
      <c r="P7" s="14">
        <v>556</v>
      </c>
      <c r="Q7" s="15">
        <v>529.70000000000005</v>
      </c>
      <c r="R7" s="15">
        <v>519.29999999999995</v>
      </c>
      <c r="S7" s="14">
        <v>560.1</v>
      </c>
      <c r="T7" s="14">
        <v>593.6</v>
      </c>
      <c r="U7" s="14">
        <v>635.1</v>
      </c>
      <c r="V7" s="14">
        <v>357.1</v>
      </c>
      <c r="W7" s="14">
        <v>492.8</v>
      </c>
      <c r="X7" s="14">
        <v>508.3</v>
      </c>
      <c r="Y7" s="15">
        <v>564</v>
      </c>
      <c r="Z7" s="15">
        <v>599.4</v>
      </c>
    </row>
    <row r="8" spans="1:26" ht="15" customHeight="1" x14ac:dyDescent="0.25">
      <c r="A8" s="16" t="s">
        <v>15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20.100000000000001" customHeight="1" x14ac:dyDescent="0.25">
      <c r="A9" s="19" t="s">
        <v>16</v>
      </c>
      <c r="B9" s="20">
        <v>167.1</v>
      </c>
      <c r="C9" s="20">
        <v>157.9</v>
      </c>
      <c r="D9" s="20">
        <v>152.9</v>
      </c>
      <c r="E9" s="20">
        <v>157.6</v>
      </c>
      <c r="F9" s="20">
        <v>164.3</v>
      </c>
      <c r="G9" s="20">
        <v>172.2</v>
      </c>
      <c r="H9" s="20">
        <v>177.8</v>
      </c>
      <c r="I9" s="20">
        <v>174.1</v>
      </c>
      <c r="J9" s="20">
        <v>175.9</v>
      </c>
      <c r="K9" s="20">
        <v>151.5</v>
      </c>
      <c r="L9" s="20">
        <v>138.9</v>
      </c>
      <c r="M9" s="20">
        <v>139.80000000000001</v>
      </c>
      <c r="N9" s="20">
        <v>144.6</v>
      </c>
      <c r="O9" s="20">
        <v>138.5</v>
      </c>
      <c r="P9" s="20">
        <v>130</v>
      </c>
      <c r="Q9" s="18">
        <v>120.6</v>
      </c>
      <c r="R9" s="18">
        <v>124.6</v>
      </c>
      <c r="S9" s="18">
        <v>123.1</v>
      </c>
      <c r="T9" s="18">
        <v>129.5</v>
      </c>
      <c r="U9" s="18">
        <v>133.6</v>
      </c>
      <c r="V9" s="18">
        <v>78.599999999999994</v>
      </c>
      <c r="W9" s="18">
        <v>104.2</v>
      </c>
      <c r="X9" s="21">
        <v>124</v>
      </c>
      <c r="Y9" s="21">
        <v>138</v>
      </c>
      <c r="Z9" s="21">
        <v>145.6</v>
      </c>
    </row>
    <row r="10" spans="1:26" ht="20.100000000000001" customHeight="1" x14ac:dyDescent="0.25">
      <c r="A10" s="22" t="s">
        <v>17</v>
      </c>
      <c r="B10" s="23">
        <v>173.7</v>
      </c>
      <c r="C10" s="23">
        <v>172.1</v>
      </c>
      <c r="D10" s="23">
        <v>170.7</v>
      </c>
      <c r="E10" s="23">
        <v>166.2</v>
      </c>
      <c r="F10" s="23">
        <v>168.7</v>
      </c>
      <c r="G10" s="23">
        <v>142.30000000000001</v>
      </c>
      <c r="H10" s="23">
        <v>136</v>
      </c>
      <c r="I10" s="23">
        <v>149.9</v>
      </c>
      <c r="J10" s="23">
        <v>152.1</v>
      </c>
      <c r="K10" s="23">
        <v>141.5</v>
      </c>
      <c r="L10" s="23">
        <v>140.6</v>
      </c>
      <c r="M10" s="23">
        <v>138.6</v>
      </c>
      <c r="N10" s="23">
        <v>133.30000000000001</v>
      </c>
      <c r="O10" s="23">
        <v>126</v>
      </c>
      <c r="P10" s="23">
        <v>127.1</v>
      </c>
      <c r="Q10" s="18">
        <v>126.3</v>
      </c>
      <c r="R10" s="18">
        <v>124.3</v>
      </c>
      <c r="S10" s="18">
        <v>123.4</v>
      </c>
      <c r="T10" s="18">
        <v>122.5</v>
      </c>
      <c r="U10" s="18">
        <v>122.5</v>
      </c>
      <c r="V10" s="18">
        <v>88.4</v>
      </c>
      <c r="W10" s="18">
        <v>101.1</v>
      </c>
      <c r="X10" s="18">
        <v>109.1</v>
      </c>
      <c r="Y10" s="18">
        <v>112.6</v>
      </c>
      <c r="Z10" s="18">
        <v>117.1</v>
      </c>
    </row>
    <row r="11" spans="1:26" ht="20.100000000000001" customHeight="1" x14ac:dyDescent="0.25">
      <c r="A11" s="24" t="s">
        <v>18</v>
      </c>
      <c r="B11" s="23">
        <v>25.1</v>
      </c>
      <c r="C11" s="23">
        <v>23.2</v>
      </c>
      <c r="D11" s="23">
        <v>21.9</v>
      </c>
      <c r="E11" s="23">
        <v>20.2</v>
      </c>
      <c r="F11" s="23">
        <v>18.7</v>
      </c>
      <c r="G11" s="23">
        <v>13.5</v>
      </c>
      <c r="H11" s="23">
        <v>11.1</v>
      </c>
      <c r="I11" s="23">
        <v>8.6999999999999993</v>
      </c>
      <c r="J11" s="25">
        <v>8.1999999999999993</v>
      </c>
      <c r="K11" s="26">
        <v>7.1</v>
      </c>
      <c r="L11" s="23">
        <v>6.7</v>
      </c>
      <c r="M11" s="23">
        <v>6.4</v>
      </c>
      <c r="N11" s="23">
        <v>6.3</v>
      </c>
      <c r="O11" s="25">
        <v>5.3</v>
      </c>
      <c r="P11" s="26">
        <v>5</v>
      </c>
      <c r="Q11" s="18">
        <v>4.8</v>
      </c>
      <c r="R11" s="18">
        <v>4.5999999999999996</v>
      </c>
      <c r="S11" s="18">
        <v>4.3</v>
      </c>
      <c r="T11" s="18">
        <v>3.9</v>
      </c>
      <c r="U11" s="18">
        <v>3.8</v>
      </c>
      <c r="V11" s="18">
        <v>2.8</v>
      </c>
      <c r="W11" s="18">
        <v>3.1</v>
      </c>
      <c r="X11" s="18">
        <v>3.1</v>
      </c>
      <c r="Y11" s="18">
        <v>3.1</v>
      </c>
      <c r="Z11" s="18">
        <v>3.2</v>
      </c>
    </row>
    <row r="12" spans="1:26" ht="20.100000000000001" customHeight="1" x14ac:dyDescent="0.25">
      <c r="A12" s="27" t="s">
        <v>19</v>
      </c>
      <c r="B12" s="20">
        <v>28.1</v>
      </c>
      <c r="C12" s="20">
        <v>27.8</v>
      </c>
      <c r="D12" s="20">
        <v>26.6</v>
      </c>
      <c r="E12" s="20">
        <v>23.8</v>
      </c>
      <c r="F12" s="20">
        <v>21.4</v>
      </c>
      <c r="G12" s="20">
        <v>15</v>
      </c>
      <c r="H12" s="20">
        <v>12.4</v>
      </c>
      <c r="I12" s="20">
        <v>9.8000000000000007</v>
      </c>
      <c r="J12" s="20">
        <v>9</v>
      </c>
      <c r="K12" s="20">
        <v>7.9</v>
      </c>
      <c r="L12" s="20">
        <v>7.1</v>
      </c>
      <c r="M12" s="20">
        <v>6.9</v>
      </c>
      <c r="N12" s="20">
        <v>6.6</v>
      </c>
      <c r="O12" s="20">
        <v>5.7</v>
      </c>
      <c r="P12" s="20">
        <v>6.4</v>
      </c>
      <c r="Q12" s="21">
        <v>6</v>
      </c>
      <c r="R12" s="21">
        <v>5.5</v>
      </c>
      <c r="S12" s="18">
        <v>5.2</v>
      </c>
      <c r="T12" s="18">
        <v>4.7</v>
      </c>
      <c r="U12" s="18">
        <v>4.2</v>
      </c>
      <c r="V12" s="18">
        <v>2.9</v>
      </c>
      <c r="W12" s="18">
        <v>3.1</v>
      </c>
      <c r="X12" s="18">
        <v>3.1</v>
      </c>
      <c r="Y12" s="18">
        <v>3.3</v>
      </c>
      <c r="Z12" s="18">
        <v>3.5</v>
      </c>
    </row>
    <row r="13" spans="1:26" ht="20.100000000000001" customHeight="1" x14ac:dyDescent="0.25">
      <c r="A13" s="27" t="s">
        <v>20</v>
      </c>
      <c r="B13" s="20">
        <v>46.9</v>
      </c>
      <c r="C13" s="20">
        <v>51.3</v>
      </c>
      <c r="D13" s="20">
        <v>51.3</v>
      </c>
      <c r="E13" s="20">
        <v>51.4</v>
      </c>
      <c r="F13" s="20">
        <v>51.4</v>
      </c>
      <c r="G13" s="20">
        <v>43.4</v>
      </c>
      <c r="H13" s="20">
        <v>44.2</v>
      </c>
      <c r="I13" s="20">
        <v>42.6</v>
      </c>
      <c r="J13" s="20">
        <v>43.4</v>
      </c>
      <c r="K13" s="20">
        <v>42.7</v>
      </c>
      <c r="L13" s="20">
        <v>42.4</v>
      </c>
      <c r="M13" s="20">
        <v>43.2</v>
      </c>
      <c r="N13" s="20">
        <v>45.1</v>
      </c>
      <c r="O13" s="20">
        <v>45.6</v>
      </c>
      <c r="P13" s="20">
        <v>45.4</v>
      </c>
      <c r="Q13" s="18">
        <v>44.6</v>
      </c>
      <c r="R13" s="18">
        <v>44.1</v>
      </c>
      <c r="S13" s="18">
        <v>44.1</v>
      </c>
      <c r="T13" s="18">
        <v>45.4</v>
      </c>
      <c r="U13" s="18">
        <v>47.4</v>
      </c>
      <c r="V13" s="18">
        <v>30.7</v>
      </c>
      <c r="W13" s="18">
        <v>37.5</v>
      </c>
      <c r="X13" s="18">
        <v>40.4</v>
      </c>
      <c r="Y13" s="18">
        <v>41.6</v>
      </c>
      <c r="Z13" s="21">
        <v>43</v>
      </c>
    </row>
    <row r="14" spans="1:26" ht="20.100000000000001" customHeight="1" x14ac:dyDescent="0.25">
      <c r="A14" s="24" t="s">
        <v>21</v>
      </c>
      <c r="B14" s="17">
        <v>0.1</v>
      </c>
      <c r="C14" s="17">
        <v>0.08</v>
      </c>
      <c r="D14" s="17">
        <v>7.0000000000000007E-2</v>
      </c>
      <c r="E14" s="17">
        <v>7.0000000000000007E-2</v>
      </c>
      <c r="F14" s="17">
        <v>7.0000000000000007E-2</v>
      </c>
      <c r="G14" s="17">
        <v>0.09</v>
      </c>
      <c r="H14" s="17">
        <v>0.06</v>
      </c>
      <c r="I14" s="17">
        <v>7.0000000000000007E-2</v>
      </c>
      <c r="J14" s="17">
        <v>7.0000000000000007E-2</v>
      </c>
      <c r="K14" s="17">
        <v>0.06</v>
      </c>
      <c r="L14" s="17">
        <v>0.06</v>
      </c>
      <c r="M14" s="17">
        <v>0.05</v>
      </c>
      <c r="N14" s="28">
        <v>0.04</v>
      </c>
      <c r="O14" s="17">
        <v>0.04</v>
      </c>
      <c r="P14" s="17">
        <v>7.0000000000000007E-2</v>
      </c>
      <c r="Q14" s="29">
        <v>0.06</v>
      </c>
      <c r="R14" s="29">
        <v>0.09</v>
      </c>
      <c r="S14" s="18">
        <v>0.08</v>
      </c>
      <c r="T14" s="18">
        <v>0.06</v>
      </c>
      <c r="U14" s="18">
        <v>0.05</v>
      </c>
      <c r="V14" s="18">
        <v>0.03</v>
      </c>
      <c r="W14" s="18">
        <v>0.04</v>
      </c>
      <c r="X14" s="18">
        <v>0.03</v>
      </c>
      <c r="Y14" s="18">
        <v>0.04</v>
      </c>
      <c r="Z14" s="18">
        <v>0.03</v>
      </c>
    </row>
    <row r="15" spans="1:26" ht="20.100000000000001" customHeight="1" x14ac:dyDescent="0.25">
      <c r="A15" s="27" t="s">
        <v>22</v>
      </c>
      <c r="B15" s="21">
        <v>1</v>
      </c>
      <c r="C15" s="21">
        <v>1</v>
      </c>
      <c r="D15" s="21">
        <v>1</v>
      </c>
      <c r="E15" s="21">
        <v>0.9</v>
      </c>
      <c r="F15" s="21">
        <v>1</v>
      </c>
      <c r="G15" s="21">
        <v>0.9</v>
      </c>
      <c r="H15" s="21">
        <v>0.9</v>
      </c>
      <c r="I15" s="21">
        <v>1</v>
      </c>
      <c r="J15" s="18">
        <v>0.8</v>
      </c>
      <c r="K15" s="18">
        <v>0.8</v>
      </c>
      <c r="L15" s="18">
        <v>0.8</v>
      </c>
      <c r="M15" s="18">
        <v>0.7</v>
      </c>
      <c r="N15" s="29">
        <v>0.6</v>
      </c>
      <c r="O15" s="18">
        <v>0.6</v>
      </c>
      <c r="P15" s="18">
        <v>0.5</v>
      </c>
      <c r="Q15" s="29">
        <v>0.5</v>
      </c>
      <c r="R15" s="29">
        <v>0.6</v>
      </c>
      <c r="S15" s="18">
        <v>0.6</v>
      </c>
      <c r="T15" s="18">
        <v>0.6</v>
      </c>
      <c r="U15" s="18">
        <v>0.6</v>
      </c>
      <c r="V15" s="18">
        <v>0.2</v>
      </c>
      <c r="W15" s="18">
        <v>0.4</v>
      </c>
      <c r="X15" s="18">
        <v>0.6</v>
      </c>
      <c r="Y15" s="18">
        <v>0.7</v>
      </c>
      <c r="Z15" s="18">
        <v>0.7</v>
      </c>
    </row>
    <row r="16" spans="1:26" ht="20.100000000000001" customHeight="1" x14ac:dyDescent="0.25">
      <c r="A16" s="30" t="s">
        <v>23</v>
      </c>
      <c r="B16" s="31">
        <v>53.4</v>
      </c>
      <c r="C16" s="32">
        <v>60.6</v>
      </c>
      <c r="D16" s="32">
        <v>64.7</v>
      </c>
      <c r="E16" s="32">
        <v>71.099999999999994</v>
      </c>
      <c r="F16" s="31">
        <v>83</v>
      </c>
      <c r="G16" s="32">
        <v>85.8</v>
      </c>
      <c r="H16" s="32">
        <v>93.9</v>
      </c>
      <c r="I16" s="31">
        <v>111</v>
      </c>
      <c r="J16" s="31">
        <v>122.6</v>
      </c>
      <c r="K16" s="31">
        <v>112.5</v>
      </c>
      <c r="L16" s="32">
        <v>147.1</v>
      </c>
      <c r="M16" s="32">
        <v>166.8</v>
      </c>
      <c r="N16" s="32">
        <v>195.8</v>
      </c>
      <c r="O16" s="32">
        <v>225.2</v>
      </c>
      <c r="P16" s="32">
        <v>241.4</v>
      </c>
      <c r="Q16" s="33">
        <v>226.8</v>
      </c>
      <c r="R16" s="33">
        <v>215.6</v>
      </c>
      <c r="S16" s="33">
        <v>259.39999999999998</v>
      </c>
      <c r="T16" s="33">
        <v>286.89999999999998</v>
      </c>
      <c r="U16" s="34">
        <v>323</v>
      </c>
      <c r="V16" s="34">
        <v>153.5</v>
      </c>
      <c r="W16" s="34">
        <v>243.3</v>
      </c>
      <c r="X16" s="34">
        <v>228</v>
      </c>
      <c r="Y16" s="34">
        <v>264.7</v>
      </c>
      <c r="Z16" s="34">
        <v>286.2</v>
      </c>
    </row>
    <row r="17" spans="1:26" x14ac:dyDescent="0.25">
      <c r="A17" s="35"/>
      <c r="B17" s="36"/>
      <c r="C17" s="7"/>
      <c r="D17" s="7"/>
      <c r="E17" s="7"/>
      <c r="F17" s="36"/>
      <c r="G17" s="7"/>
      <c r="H17" s="7"/>
      <c r="I17" s="36"/>
      <c r="J17" s="36"/>
      <c r="K17" s="36"/>
      <c r="L17" s="7"/>
      <c r="M17" s="7"/>
      <c r="N17" s="7"/>
      <c r="O17" s="7"/>
      <c r="P17" s="7"/>
      <c r="Q17" s="7"/>
      <c r="R17" s="7"/>
      <c r="U17" s="36"/>
      <c r="V17" s="36"/>
      <c r="W17" s="36"/>
      <c r="X17" s="36"/>
    </row>
    <row r="18" spans="1:26" ht="18.75" x14ac:dyDescent="0.25">
      <c r="A18" s="127" t="s">
        <v>24</v>
      </c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W18" s="37"/>
      <c r="X18" s="37"/>
      <c r="Y18" s="37"/>
    </row>
    <row r="19" spans="1:26" x14ac:dyDescent="0.25">
      <c r="A19" s="128" t="s">
        <v>61</v>
      </c>
      <c r="B19" s="128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</row>
    <row r="20" spans="1:26" customFormat="1" ht="18.75" x14ac:dyDescent="0.25">
      <c r="A20" s="127" t="s">
        <v>62</v>
      </c>
      <c r="B20" s="127"/>
      <c r="C20" s="127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S20" s="39"/>
      <c r="T20" s="39"/>
      <c r="U20" s="39"/>
      <c r="V20" s="39"/>
      <c r="Z20" s="40"/>
    </row>
    <row r="21" spans="1:26" customFormat="1" x14ac:dyDescent="0.25">
      <c r="A21" s="128" t="s">
        <v>25</v>
      </c>
      <c r="B21" s="128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S21" s="39"/>
      <c r="T21" s="39"/>
      <c r="U21" s="39"/>
      <c r="V21" s="39"/>
      <c r="Z21" s="40"/>
    </row>
    <row r="23" spans="1:26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26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26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26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26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26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26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1:26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spans="1:26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26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spans="1:15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spans="1:15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15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spans="1:15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spans="1:15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spans="1:15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</sheetData>
  <mergeCells count="6">
    <mergeCell ref="B2:Z2"/>
    <mergeCell ref="A18:S18"/>
    <mergeCell ref="A19:S19"/>
    <mergeCell ref="A20:C20"/>
    <mergeCell ref="A21:O21"/>
    <mergeCell ref="B3:Z3"/>
  </mergeCells>
  <hyperlinks>
    <hyperlink ref="A1" location="'Содержание'!A1" display="В содержание"/>
  </hyperlinks>
  <pageMargins left="0.18000000000000005" right="0.17" top="0.75" bottom="0.75" header="0.3" footer="0.3"/>
  <pageSetup paperSize="9" scale="78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"/>
  <sheetViews>
    <sheetView zoomScale="90" zoomScaleNormal="90" workbookViewId="0">
      <pane xSplit="1" ySplit="6" topLeftCell="E7" activePane="bottomRight" state="frozen"/>
      <selection activeCell="Y4" sqref="Y4"/>
      <selection pane="topRight"/>
      <selection pane="bottomLeft"/>
      <selection pane="bottomRight" activeCell="Z5" sqref="Z5"/>
    </sheetView>
  </sheetViews>
  <sheetFormatPr defaultRowHeight="15" x14ac:dyDescent="0.25"/>
  <cols>
    <col min="1" max="1" width="30.7109375" style="6" customWidth="1"/>
    <col min="2" max="22" width="9.7109375" style="6" customWidth="1"/>
    <col min="23" max="26" width="9.7109375" customWidth="1"/>
  </cols>
  <sheetData>
    <row r="1" spans="1:26" s="100" customFormat="1" x14ac:dyDescent="0.25">
      <c r="A1" s="99" t="s">
        <v>9</v>
      </c>
    </row>
    <row r="2" spans="1:26" s="108" customFormat="1" ht="20.100000000000001" customHeight="1" x14ac:dyDescent="0.25">
      <c r="A2" s="2"/>
      <c r="B2" s="130" t="s">
        <v>26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</row>
    <row r="3" spans="1:26" s="108" customFormat="1" x14ac:dyDescent="0.25">
      <c r="A3" s="2"/>
      <c r="B3" s="131" t="s">
        <v>27</v>
      </c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</row>
    <row r="4" spans="1:26" s="108" customFormat="1" ht="1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6" s="114" customFormat="1" ht="20.100000000000001" customHeight="1" x14ac:dyDescent="0.25">
      <c r="A5" s="112"/>
      <c r="B5" s="113">
        <v>2000</v>
      </c>
      <c r="C5" s="41">
        <v>2001</v>
      </c>
      <c r="D5" s="109">
        <v>2002</v>
      </c>
      <c r="E5" s="113">
        <v>2003</v>
      </c>
      <c r="F5" s="113">
        <v>2004</v>
      </c>
      <c r="G5" s="41">
        <v>2005</v>
      </c>
      <c r="H5" s="41">
        <v>2006</v>
      </c>
      <c r="I5" s="41">
        <v>2007</v>
      </c>
      <c r="J5" s="41">
        <v>2008</v>
      </c>
      <c r="K5" s="41">
        <v>2009</v>
      </c>
      <c r="L5" s="41">
        <v>2010</v>
      </c>
      <c r="M5" s="41">
        <v>2011</v>
      </c>
      <c r="N5" s="41">
        <v>2012</v>
      </c>
      <c r="O5" s="41">
        <v>2013</v>
      </c>
      <c r="P5" s="41">
        <v>2014</v>
      </c>
      <c r="Q5" s="41">
        <v>2015</v>
      </c>
      <c r="R5" s="41">
        <v>2016</v>
      </c>
      <c r="S5" s="41">
        <v>2017</v>
      </c>
      <c r="T5" s="41">
        <v>2018</v>
      </c>
      <c r="U5" s="41">
        <v>2019</v>
      </c>
      <c r="V5" s="41">
        <v>2020</v>
      </c>
      <c r="W5" s="41">
        <v>2021</v>
      </c>
      <c r="X5" s="109">
        <v>2022</v>
      </c>
      <c r="Y5" s="109">
        <v>2023</v>
      </c>
      <c r="Z5" s="109">
        <v>2024</v>
      </c>
    </row>
    <row r="6" spans="1:26" s="108" customFormat="1" ht="15" customHeight="1" x14ac:dyDescent="0.25">
      <c r="A6" s="42"/>
      <c r="B6" s="43"/>
      <c r="C6" s="44"/>
      <c r="D6" s="43"/>
      <c r="E6" s="45"/>
      <c r="F6" s="43"/>
      <c r="G6" s="45"/>
      <c r="H6" s="43"/>
      <c r="I6" s="45"/>
      <c r="J6" s="43"/>
      <c r="K6" s="45"/>
      <c r="L6" s="43"/>
      <c r="M6" s="45"/>
      <c r="N6" s="43"/>
      <c r="O6" s="45"/>
      <c r="P6" s="43"/>
      <c r="Q6" s="45"/>
      <c r="R6" s="43"/>
      <c r="S6" s="45"/>
      <c r="T6" s="46"/>
      <c r="U6" s="47"/>
      <c r="V6" s="48"/>
      <c r="W6" s="48"/>
      <c r="X6" s="48"/>
      <c r="Y6" s="48"/>
      <c r="Z6" s="48"/>
    </row>
    <row r="7" spans="1:26" s="108" customFormat="1" ht="20.100000000000001" customHeight="1" x14ac:dyDescent="0.25">
      <c r="A7" s="110" t="s">
        <v>14</v>
      </c>
      <c r="B7" s="49">
        <f t="shared" ref="B7:V7" si="0">B9+B11+B13+B12+B10</f>
        <v>100.00000000000001</v>
      </c>
      <c r="C7" s="50">
        <f t="shared" si="0"/>
        <v>100</v>
      </c>
      <c r="D7" s="49">
        <f t="shared" si="0"/>
        <v>100</v>
      </c>
      <c r="E7" s="50">
        <f t="shared" si="0"/>
        <v>100.00000000000001</v>
      </c>
      <c r="F7" s="49">
        <f t="shared" si="0"/>
        <v>100</v>
      </c>
      <c r="G7" s="50">
        <f t="shared" si="0"/>
        <v>100</v>
      </c>
      <c r="H7" s="49">
        <f t="shared" si="0"/>
        <v>100</v>
      </c>
      <c r="I7" s="50">
        <f t="shared" si="0"/>
        <v>100</v>
      </c>
      <c r="J7" s="49">
        <f t="shared" si="0"/>
        <v>100</v>
      </c>
      <c r="K7" s="50">
        <f t="shared" si="0"/>
        <v>100</v>
      </c>
      <c r="L7" s="49">
        <f t="shared" si="0"/>
        <v>100</v>
      </c>
      <c r="M7" s="50">
        <f t="shared" si="0"/>
        <v>100</v>
      </c>
      <c r="N7" s="49">
        <f t="shared" si="0"/>
        <v>100</v>
      </c>
      <c r="O7" s="50">
        <f t="shared" si="0"/>
        <v>100</v>
      </c>
      <c r="P7" s="49">
        <f t="shared" si="0"/>
        <v>100</v>
      </c>
      <c r="Q7" s="50">
        <f t="shared" si="0"/>
        <v>100</v>
      </c>
      <c r="R7" s="49">
        <f t="shared" si="0"/>
        <v>100</v>
      </c>
      <c r="S7" s="50">
        <f t="shared" si="0"/>
        <v>100</v>
      </c>
      <c r="T7" s="49">
        <f t="shared" si="0"/>
        <v>100</v>
      </c>
      <c r="U7" s="50">
        <f t="shared" si="0"/>
        <v>100</v>
      </c>
      <c r="V7" s="51">
        <f t="shared" si="0"/>
        <v>100</v>
      </c>
      <c r="W7" s="51">
        <f>W9+W11+W13+W12+W10</f>
        <v>100</v>
      </c>
      <c r="X7" s="51">
        <f>X9+X11+X13+X12+X10</f>
        <v>100</v>
      </c>
      <c r="Y7" s="51">
        <f>Y9+Y11+Y13+Y12+Y10</f>
        <v>100</v>
      </c>
      <c r="Z7" s="51">
        <f>Z9+Z11+Z13+Z12+Z10</f>
        <v>100</v>
      </c>
    </row>
    <row r="8" spans="1:26" s="108" customFormat="1" ht="15" customHeight="1" x14ac:dyDescent="0.25">
      <c r="A8" s="111" t="s">
        <v>15</v>
      </c>
      <c r="B8" s="52"/>
      <c r="C8" s="53"/>
      <c r="D8" s="52"/>
      <c r="E8" s="53"/>
      <c r="F8" s="52"/>
      <c r="G8" s="53"/>
      <c r="H8" s="52"/>
      <c r="I8" s="53"/>
      <c r="J8" s="52"/>
      <c r="K8" s="53"/>
      <c r="L8" s="52"/>
      <c r="M8" s="53"/>
      <c r="N8" s="52"/>
      <c r="O8" s="53"/>
      <c r="P8" s="52"/>
      <c r="Q8" s="53"/>
      <c r="R8" s="52"/>
      <c r="S8" s="53"/>
      <c r="T8" s="52"/>
      <c r="U8" s="53"/>
      <c r="V8" s="54"/>
      <c r="W8" s="54"/>
      <c r="X8" s="54"/>
      <c r="Y8" s="54"/>
      <c r="Z8" s="54"/>
    </row>
    <row r="9" spans="1:26" s="108" customFormat="1" ht="20.100000000000001" customHeight="1" x14ac:dyDescent="0.25">
      <c r="A9" s="55" t="s">
        <v>16</v>
      </c>
      <c r="B9" s="56">
        <v>33.700000000000003</v>
      </c>
      <c r="C9" s="57">
        <v>32</v>
      </c>
      <c r="D9" s="56">
        <v>31.3</v>
      </c>
      <c r="E9" s="57">
        <v>32.1</v>
      </c>
      <c r="F9" s="56">
        <v>32.299999999999997</v>
      </c>
      <c r="G9" s="57">
        <v>36.4</v>
      </c>
      <c r="H9" s="56">
        <v>37.299999999999997</v>
      </c>
      <c r="I9" s="57">
        <v>35</v>
      </c>
      <c r="J9" s="56">
        <v>34.299999999999997</v>
      </c>
      <c r="K9" s="57">
        <v>32.6</v>
      </c>
      <c r="L9" s="56">
        <v>28.7</v>
      </c>
      <c r="M9" s="57">
        <v>27.8</v>
      </c>
      <c r="N9" s="56">
        <v>27.2</v>
      </c>
      <c r="O9" s="57">
        <v>25.3</v>
      </c>
      <c r="P9" s="56">
        <v>23.4</v>
      </c>
      <c r="Q9" s="57">
        <v>22.8</v>
      </c>
      <c r="R9" s="56">
        <v>24</v>
      </c>
      <c r="S9" s="57">
        <v>22</v>
      </c>
      <c r="T9" s="56">
        <v>21.8</v>
      </c>
      <c r="U9" s="57">
        <v>21</v>
      </c>
      <c r="V9" s="58">
        <v>22</v>
      </c>
      <c r="W9" s="58">
        <v>21.1</v>
      </c>
      <c r="X9" s="58">
        <v>24.4</v>
      </c>
      <c r="Y9" s="58">
        <v>24.5</v>
      </c>
      <c r="Z9" s="58">
        <v>24.3</v>
      </c>
    </row>
    <row r="10" spans="1:26" s="108" customFormat="1" ht="20.100000000000001" customHeight="1" x14ac:dyDescent="0.25">
      <c r="A10" s="55" t="s">
        <v>28</v>
      </c>
      <c r="B10" s="56">
        <v>10.9</v>
      </c>
      <c r="C10" s="57">
        <v>12.3</v>
      </c>
      <c r="D10" s="56">
        <v>13.2</v>
      </c>
      <c r="E10" s="57">
        <v>14.5</v>
      </c>
      <c r="F10" s="56">
        <v>16.3</v>
      </c>
      <c r="G10" s="57">
        <v>18.100000000000001</v>
      </c>
      <c r="H10" s="56">
        <v>19.8</v>
      </c>
      <c r="I10" s="57">
        <v>22.400000000000002</v>
      </c>
      <c r="J10" s="56">
        <v>24</v>
      </c>
      <c r="K10" s="57">
        <v>24.3</v>
      </c>
      <c r="L10" s="56">
        <v>30.4</v>
      </c>
      <c r="M10" s="57">
        <v>33.300000000000004</v>
      </c>
      <c r="N10" s="56">
        <v>36.799999999999997</v>
      </c>
      <c r="O10" s="57">
        <v>41.300000000000004</v>
      </c>
      <c r="P10" s="56">
        <v>43.4</v>
      </c>
      <c r="Q10" s="57">
        <v>42.8</v>
      </c>
      <c r="R10" s="56">
        <v>41.6</v>
      </c>
      <c r="S10" s="57">
        <v>46.3</v>
      </c>
      <c r="T10" s="56">
        <v>48.4</v>
      </c>
      <c r="U10" s="53">
        <v>50.8</v>
      </c>
      <c r="V10" s="54">
        <v>42.9</v>
      </c>
      <c r="W10" s="54">
        <v>49.4</v>
      </c>
      <c r="X10" s="54">
        <v>44.9</v>
      </c>
      <c r="Y10" s="54">
        <v>46.9</v>
      </c>
      <c r="Z10" s="54">
        <v>47.8</v>
      </c>
    </row>
    <row r="11" spans="1:26" s="108" customFormat="1" ht="20.100000000000001" customHeight="1" x14ac:dyDescent="0.25">
      <c r="A11" s="55" t="s">
        <v>29</v>
      </c>
      <c r="B11" s="56">
        <v>35</v>
      </c>
      <c r="C11" s="57">
        <v>34.799999999999997</v>
      </c>
      <c r="D11" s="56">
        <v>34.9</v>
      </c>
      <c r="E11" s="57">
        <v>33.799999999999997</v>
      </c>
      <c r="F11" s="56">
        <v>33.200000000000003</v>
      </c>
      <c r="G11" s="57">
        <v>30.1</v>
      </c>
      <c r="H11" s="56">
        <v>28.5</v>
      </c>
      <c r="I11" s="57">
        <v>30.1</v>
      </c>
      <c r="J11" s="56">
        <v>29.7</v>
      </c>
      <c r="K11" s="57">
        <v>30.5</v>
      </c>
      <c r="L11" s="56">
        <v>29.1</v>
      </c>
      <c r="M11" s="57">
        <v>27.6</v>
      </c>
      <c r="N11" s="56">
        <v>25</v>
      </c>
      <c r="O11" s="57">
        <v>23</v>
      </c>
      <c r="P11" s="56">
        <v>22.9</v>
      </c>
      <c r="Q11" s="57">
        <v>23.9</v>
      </c>
      <c r="R11" s="56">
        <v>23.9</v>
      </c>
      <c r="S11" s="57">
        <v>22</v>
      </c>
      <c r="T11" s="56">
        <v>20.6</v>
      </c>
      <c r="U11" s="53">
        <v>19.3</v>
      </c>
      <c r="V11" s="54">
        <v>24.8</v>
      </c>
      <c r="W11" s="54">
        <v>20.5</v>
      </c>
      <c r="X11" s="54">
        <v>21.5</v>
      </c>
      <c r="Y11" s="58">
        <v>20</v>
      </c>
      <c r="Z11" s="58">
        <v>19.5</v>
      </c>
    </row>
    <row r="12" spans="1:26" s="108" customFormat="1" ht="20.100000000000001" customHeight="1" x14ac:dyDescent="0.25">
      <c r="A12" s="55" t="s">
        <v>30</v>
      </c>
      <c r="B12" s="56">
        <v>0.2</v>
      </c>
      <c r="C12" s="57">
        <v>0.2</v>
      </c>
      <c r="D12" s="56">
        <v>0.2</v>
      </c>
      <c r="E12" s="57">
        <v>0.2</v>
      </c>
      <c r="F12" s="56">
        <v>0.2</v>
      </c>
      <c r="G12" s="57">
        <v>0.2</v>
      </c>
      <c r="H12" s="56">
        <v>0.2</v>
      </c>
      <c r="I12" s="57">
        <v>0.2</v>
      </c>
      <c r="J12" s="56">
        <v>0.2</v>
      </c>
      <c r="K12" s="57">
        <v>0.2</v>
      </c>
      <c r="L12" s="56">
        <v>0.2</v>
      </c>
      <c r="M12" s="57">
        <v>0.1</v>
      </c>
      <c r="N12" s="56">
        <v>0.1</v>
      </c>
      <c r="O12" s="57">
        <v>0.1</v>
      </c>
      <c r="P12" s="56">
        <v>0.1</v>
      </c>
      <c r="Q12" s="57">
        <v>0.1</v>
      </c>
      <c r="R12" s="56">
        <v>0.1</v>
      </c>
      <c r="S12" s="57">
        <v>0.1</v>
      </c>
      <c r="T12" s="56">
        <v>0.1</v>
      </c>
      <c r="U12" s="53">
        <v>0.1</v>
      </c>
      <c r="V12" s="54">
        <v>0.1</v>
      </c>
      <c r="W12" s="54">
        <v>0.1</v>
      </c>
      <c r="X12" s="54">
        <v>0.1</v>
      </c>
      <c r="Y12" s="54">
        <v>0.1</v>
      </c>
      <c r="Z12" s="54">
        <v>0.1</v>
      </c>
    </row>
    <row r="13" spans="1:26" s="108" customFormat="1" ht="20.100000000000001" customHeight="1" x14ac:dyDescent="0.25">
      <c r="A13" s="59" t="s">
        <v>31</v>
      </c>
      <c r="B13" s="60">
        <v>20.2</v>
      </c>
      <c r="C13" s="61">
        <v>20.7</v>
      </c>
      <c r="D13" s="60">
        <v>20.399999999999999</v>
      </c>
      <c r="E13" s="61">
        <v>19.399999999999999</v>
      </c>
      <c r="F13" s="60">
        <v>18</v>
      </c>
      <c r="G13" s="61">
        <v>15.2</v>
      </c>
      <c r="H13" s="60">
        <v>14.2</v>
      </c>
      <c r="I13" s="61">
        <v>12.3</v>
      </c>
      <c r="J13" s="60">
        <v>11.8</v>
      </c>
      <c r="K13" s="61">
        <v>12.4</v>
      </c>
      <c r="L13" s="60">
        <v>11.6</v>
      </c>
      <c r="M13" s="61">
        <v>11.2</v>
      </c>
      <c r="N13" s="60">
        <v>10.9</v>
      </c>
      <c r="O13" s="61">
        <v>10.3</v>
      </c>
      <c r="P13" s="60">
        <v>10.199999999999999</v>
      </c>
      <c r="Q13" s="61">
        <v>10.4</v>
      </c>
      <c r="R13" s="60">
        <v>10.4</v>
      </c>
      <c r="S13" s="61">
        <v>9.6000000000000014</v>
      </c>
      <c r="T13" s="60">
        <v>9.1</v>
      </c>
      <c r="U13" s="62">
        <v>8.8000000000000007</v>
      </c>
      <c r="V13" s="63">
        <v>10.199999999999999</v>
      </c>
      <c r="W13" s="63">
        <v>8.9</v>
      </c>
      <c r="X13" s="63">
        <v>9.1</v>
      </c>
      <c r="Y13" s="63">
        <v>8.5</v>
      </c>
      <c r="Z13" s="63">
        <v>8.3000000000000007</v>
      </c>
    </row>
    <row r="15" spans="1:26" ht="18.75" x14ac:dyDescent="0.25">
      <c r="A15" s="127" t="s">
        <v>24</v>
      </c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</row>
  </sheetData>
  <mergeCells count="3">
    <mergeCell ref="A15:S15"/>
    <mergeCell ref="B2:Z2"/>
    <mergeCell ref="B3:Z3"/>
  </mergeCells>
  <hyperlinks>
    <hyperlink ref="A1" location="'Содержание'!A1" display="В содержание"/>
  </hyperlinks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"/>
  <sheetViews>
    <sheetView zoomScale="90" zoomScaleNormal="90" workbookViewId="0">
      <selection activeCell="A2" sqref="A2"/>
    </sheetView>
  </sheetViews>
  <sheetFormatPr defaultRowHeight="15" x14ac:dyDescent="0.25"/>
  <sheetData>
    <row r="1" spans="1:1" s="100" customFormat="1" x14ac:dyDescent="0.25">
      <c r="A1" s="99" t="s">
        <v>9</v>
      </c>
    </row>
    <row r="34" spans="1:19" ht="18.75" x14ac:dyDescent="0.25">
      <c r="A34" s="127" t="s">
        <v>24</v>
      </c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</row>
  </sheetData>
  <mergeCells count="1">
    <mergeCell ref="A34:S34"/>
  </mergeCells>
  <hyperlinks>
    <hyperlink ref="A1" location="'Содержание'!A1" display="В содержание"/>
  </hyperlinks>
  <pageMargins left="0.7" right="0.7" top="0.75" bottom="0.75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tabSelected="1" zoomScale="90" zoomScaleNormal="90" workbookViewId="0">
      <selection activeCell="B6" sqref="B6"/>
    </sheetView>
  </sheetViews>
  <sheetFormatPr defaultRowHeight="15" x14ac:dyDescent="0.25"/>
  <cols>
    <col min="1" max="1" width="23.7109375" style="64" customWidth="1"/>
    <col min="2" max="2" width="20.7109375" style="64" customWidth="1"/>
    <col min="3" max="14" width="10.7109375" style="64" customWidth="1"/>
  </cols>
  <sheetData>
    <row r="1" spans="1:14" s="100" customFormat="1" ht="15" customHeight="1" x14ac:dyDescent="0.25">
      <c r="A1" s="104" t="s">
        <v>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</row>
    <row r="2" spans="1:14" ht="20.100000000000001" customHeight="1" x14ac:dyDescent="0.25">
      <c r="A2" s="138" t="s">
        <v>32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</row>
    <row r="3" spans="1:14" ht="15" customHeight="1" x14ac:dyDescent="0.25">
      <c r="A3" s="119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33" t="s">
        <v>33</v>
      </c>
      <c r="N3" s="133"/>
    </row>
    <row r="4" spans="1:14" s="65" customFormat="1" ht="15" customHeight="1" x14ac:dyDescent="0.2">
      <c r="A4" s="66"/>
      <c r="B4" s="67"/>
      <c r="C4" s="68" t="s">
        <v>34</v>
      </c>
      <c r="D4" s="68" t="s">
        <v>35</v>
      </c>
      <c r="E4" s="68" t="s">
        <v>36</v>
      </c>
      <c r="F4" s="68" t="s">
        <v>37</v>
      </c>
      <c r="G4" s="68" t="s">
        <v>38</v>
      </c>
      <c r="H4" s="68" t="s">
        <v>39</v>
      </c>
      <c r="I4" s="68" t="s">
        <v>40</v>
      </c>
      <c r="J4" s="68" t="s">
        <v>41</v>
      </c>
      <c r="K4" s="68" t="s">
        <v>42</v>
      </c>
      <c r="L4" s="68" t="s">
        <v>43</v>
      </c>
      <c r="M4" s="68" t="s">
        <v>44</v>
      </c>
      <c r="N4" s="68" t="s">
        <v>45</v>
      </c>
    </row>
    <row r="5" spans="1:14" ht="15" customHeight="1" x14ac:dyDescent="0.25">
      <c r="A5" s="69"/>
      <c r="B5" s="70"/>
      <c r="C5" s="71"/>
      <c r="D5" s="71"/>
      <c r="E5" s="71"/>
      <c r="F5" s="71"/>
      <c r="G5" s="71"/>
      <c r="H5" s="71"/>
      <c r="I5" s="71"/>
      <c r="J5" s="71"/>
      <c r="K5" s="71"/>
      <c r="L5" s="72"/>
      <c r="M5" s="72"/>
      <c r="N5" s="72"/>
    </row>
    <row r="6" spans="1:14" s="143" customFormat="1" ht="15" customHeight="1" x14ac:dyDescent="0.25">
      <c r="A6" s="134" t="s">
        <v>46</v>
      </c>
      <c r="B6" s="139">
        <v>2024</v>
      </c>
      <c r="C6" s="140">
        <f>C14+C18+C22+C30+C26</f>
        <v>37784.200000000004</v>
      </c>
      <c r="D6" s="141">
        <f t="shared" ref="C6:N7" si="0">D14+D18+D22+D30+D26</f>
        <v>34779.199999999997</v>
      </c>
      <c r="E6" s="141">
        <f t="shared" si="0"/>
        <v>38794.800000000003</v>
      </c>
      <c r="F6" s="141">
        <f t="shared" si="0"/>
        <v>39365.4</v>
      </c>
      <c r="G6" s="141">
        <f t="shared" si="0"/>
        <v>42888.299999999988</v>
      </c>
      <c r="H6" s="141">
        <f t="shared" si="0"/>
        <v>49548.7</v>
      </c>
      <c r="I6" s="141">
        <f t="shared" si="0"/>
        <v>56464.899999999994</v>
      </c>
      <c r="J6" s="141">
        <f t="shared" si="0"/>
        <v>56998.799999999996</v>
      </c>
      <c r="K6" s="141">
        <f t="shared" si="0"/>
        <v>48906.499999999993</v>
      </c>
      <c r="L6" s="141">
        <f t="shared" si="0"/>
        <v>43996.399999999994</v>
      </c>
      <c r="M6" s="141">
        <f t="shared" si="0"/>
        <v>38915.700000000004</v>
      </c>
      <c r="N6" s="142">
        <f t="shared" si="0"/>
        <v>39402.699999999997</v>
      </c>
    </row>
    <row r="7" spans="1:14" s="147" customFormat="1" ht="15" customHeight="1" x14ac:dyDescent="0.25">
      <c r="A7" s="135"/>
      <c r="B7" s="139">
        <v>2025</v>
      </c>
      <c r="C7" s="144">
        <f t="shared" si="0"/>
        <v>38686.6</v>
      </c>
      <c r="D7" s="145">
        <f t="shared" si="0"/>
        <v>34036.800000000003</v>
      </c>
      <c r="E7" s="145">
        <f t="shared" si="0"/>
        <v>39181.299999999996</v>
      </c>
      <c r="F7" s="145">
        <f t="shared" si="0"/>
        <v>40377</v>
      </c>
      <c r="G7" s="145">
        <f t="shared" si="0"/>
        <v>43241.599999999999</v>
      </c>
      <c r="H7" s="145">
        <f t="shared" si="0"/>
        <v>48283</v>
      </c>
      <c r="I7" s="145">
        <f t="shared" si="0"/>
        <v>54711.199999999997</v>
      </c>
      <c r="J7" s="145">
        <f t="shared" si="0"/>
        <v>55640.799999999996</v>
      </c>
      <c r="K7" s="145">
        <f t="shared" si="0"/>
        <v>47102.299999999996</v>
      </c>
      <c r="L7" s="145">
        <f t="shared" si="0"/>
        <v>44035.8</v>
      </c>
      <c r="M7" s="145">
        <f t="shared" si="0"/>
        <v>39846.399999999994</v>
      </c>
      <c r="N7" s="146">
        <f t="shared" si="0"/>
        <v>39716.800000000003</v>
      </c>
    </row>
    <row r="8" spans="1:14" s="143" customFormat="1" ht="15" customHeight="1" x14ac:dyDescent="0.25">
      <c r="A8" s="135"/>
      <c r="B8" s="74" t="s">
        <v>47</v>
      </c>
      <c r="C8" s="75">
        <f>C7/C6*100</f>
        <v>102.38829987137478</v>
      </c>
      <c r="D8" s="76">
        <f>D7/D6*100</f>
        <v>97.865390808299239</v>
      </c>
      <c r="E8" s="76">
        <f t="shared" ref="E8:N8" si="1">E7/E6*100</f>
        <v>100.99626754101064</v>
      </c>
      <c r="F8" s="76">
        <f t="shared" si="1"/>
        <v>102.56976939139446</v>
      </c>
      <c r="G8" s="76">
        <f t="shared" si="1"/>
        <v>100.82376778748518</v>
      </c>
      <c r="H8" s="76">
        <f t="shared" si="1"/>
        <v>97.445543475409053</v>
      </c>
      <c r="I8" s="76">
        <f t="shared" si="1"/>
        <v>96.894176736344178</v>
      </c>
      <c r="J8" s="76">
        <f t="shared" si="1"/>
        <v>97.617493701621797</v>
      </c>
      <c r="K8" s="76">
        <f t="shared" si="1"/>
        <v>96.310919816384327</v>
      </c>
      <c r="L8" s="76">
        <f t="shared" si="1"/>
        <v>100.08955278159124</v>
      </c>
      <c r="M8" s="76">
        <f t="shared" si="1"/>
        <v>102.3915797480194</v>
      </c>
      <c r="N8" s="77">
        <f t="shared" si="1"/>
        <v>100.79715349455749</v>
      </c>
    </row>
    <row r="9" spans="1:14" s="143" customFormat="1" ht="15" customHeight="1" x14ac:dyDescent="0.25">
      <c r="A9" s="135"/>
      <c r="B9" s="74" t="s">
        <v>48</v>
      </c>
      <c r="C9" s="75">
        <f>C7/N6*100</f>
        <v>98.182611851472117</v>
      </c>
      <c r="D9" s="76">
        <f>D7/C7*100</f>
        <v>87.980851250820706</v>
      </c>
      <c r="E9" s="76">
        <f t="shared" ref="E9:K9" si="2">E7/D7*100</f>
        <v>115.11452310440463</v>
      </c>
      <c r="F9" s="76">
        <f t="shared" si="2"/>
        <v>103.05171089269626</v>
      </c>
      <c r="G9" s="76">
        <f t="shared" si="2"/>
        <v>107.09463308319091</v>
      </c>
      <c r="H9" s="76">
        <f t="shared" si="2"/>
        <v>111.65868052986015</v>
      </c>
      <c r="I9" s="76">
        <f t="shared" si="2"/>
        <v>113.3135886336806</v>
      </c>
      <c r="J9" s="76">
        <f t="shared" si="2"/>
        <v>101.69910365702086</v>
      </c>
      <c r="K9" s="76">
        <f t="shared" si="2"/>
        <v>84.65424652413337</v>
      </c>
      <c r="L9" s="76">
        <f>L7/K7*100</f>
        <v>93.489702201378719</v>
      </c>
      <c r="M9" s="76">
        <f>M7/L7*100</f>
        <v>90.486376993264557</v>
      </c>
      <c r="N9" s="77">
        <f>N7/M7*100</f>
        <v>99.674751044009014</v>
      </c>
    </row>
    <row r="10" spans="1:14" s="143" customFormat="1" ht="15" customHeight="1" x14ac:dyDescent="0.25">
      <c r="A10" s="135"/>
      <c r="B10" s="139">
        <v>2026</v>
      </c>
      <c r="C10" s="148">
        <f t="shared" ref="C10:E10" si="3">C16+C20+C24+C28+C32</f>
        <v>39778.699999999997</v>
      </c>
      <c r="D10" s="145">
        <f t="shared" si="3"/>
        <v>34261.300000000003</v>
      </c>
      <c r="E10" s="145">
        <f t="shared" si="3"/>
        <v>0</v>
      </c>
      <c r="F10" s="145">
        <f t="shared" ref="F10:K10" si="4">F16+F20+F24+F28+F32</f>
        <v>0</v>
      </c>
      <c r="G10" s="145">
        <f t="shared" si="4"/>
        <v>0</v>
      </c>
      <c r="H10" s="145">
        <f t="shared" si="4"/>
        <v>0</v>
      </c>
      <c r="I10" s="145">
        <f t="shared" si="4"/>
        <v>0</v>
      </c>
      <c r="J10" s="145">
        <f t="shared" si="4"/>
        <v>0</v>
      </c>
      <c r="K10" s="145">
        <f t="shared" si="4"/>
        <v>0</v>
      </c>
      <c r="L10" s="145">
        <f t="shared" ref="L10:M10" si="5">L16+L20+L24+L28+L32</f>
        <v>0</v>
      </c>
      <c r="M10" s="145">
        <f t="shared" si="5"/>
        <v>0</v>
      </c>
      <c r="N10" s="146">
        <f>N16+N20+N24+N28+N32</f>
        <v>0</v>
      </c>
    </row>
    <row r="11" spans="1:14" s="143" customFormat="1" ht="15" customHeight="1" x14ac:dyDescent="0.25">
      <c r="A11" s="135"/>
      <c r="B11" s="74" t="s">
        <v>47</v>
      </c>
      <c r="C11" s="75">
        <f>C10/C7*100</f>
        <v>102.82294127682452</v>
      </c>
      <c r="D11" s="76">
        <f t="shared" ref="D11:E11" si="6">D10/D7*100</f>
        <v>100.65958021905701</v>
      </c>
      <c r="E11" s="76">
        <f t="shared" si="6"/>
        <v>0</v>
      </c>
      <c r="F11" s="76">
        <f t="shared" ref="F11:I11" si="7">F10/F7*100</f>
        <v>0</v>
      </c>
      <c r="G11" s="76">
        <f t="shared" si="7"/>
        <v>0</v>
      </c>
      <c r="H11" s="76">
        <f t="shared" si="7"/>
        <v>0</v>
      </c>
      <c r="I11" s="76">
        <f t="shared" si="7"/>
        <v>0</v>
      </c>
      <c r="J11" s="76">
        <f t="shared" ref="J11:K11" si="8">J10/J7*100</f>
        <v>0</v>
      </c>
      <c r="K11" s="76">
        <f t="shared" si="8"/>
        <v>0</v>
      </c>
      <c r="L11" s="76">
        <f t="shared" ref="L11:M11" si="9">L10/L7*100</f>
        <v>0</v>
      </c>
      <c r="M11" s="76">
        <f t="shared" si="9"/>
        <v>0</v>
      </c>
      <c r="N11" s="77">
        <f>N10/N7*100</f>
        <v>0</v>
      </c>
    </row>
    <row r="12" spans="1:14" s="143" customFormat="1" ht="15" customHeight="1" x14ac:dyDescent="0.25">
      <c r="A12" s="136"/>
      <c r="B12" s="74" t="s">
        <v>48</v>
      </c>
      <c r="C12" s="78">
        <f>C10/N7*100</f>
        <v>100.15585344237199</v>
      </c>
      <c r="D12" s="78">
        <f>IFERROR(D10/C10*100,0)</f>
        <v>86.129762913317947</v>
      </c>
      <c r="E12" s="78">
        <f t="shared" ref="E12:N12" si="10">IFERROR(E10/D10*100,0)</f>
        <v>0</v>
      </c>
      <c r="F12" s="78">
        <f t="shared" si="10"/>
        <v>0</v>
      </c>
      <c r="G12" s="78">
        <f t="shared" si="10"/>
        <v>0</v>
      </c>
      <c r="H12" s="78">
        <f t="shared" si="10"/>
        <v>0</v>
      </c>
      <c r="I12" s="78">
        <f t="shared" si="10"/>
        <v>0</v>
      </c>
      <c r="J12" s="78">
        <f t="shared" si="10"/>
        <v>0</v>
      </c>
      <c r="K12" s="78">
        <f t="shared" si="10"/>
        <v>0</v>
      </c>
      <c r="L12" s="78">
        <f t="shared" si="10"/>
        <v>0</v>
      </c>
      <c r="M12" s="78">
        <f t="shared" si="10"/>
        <v>0</v>
      </c>
      <c r="N12" s="79">
        <f t="shared" si="10"/>
        <v>0</v>
      </c>
    </row>
    <row r="13" spans="1:14" ht="9.9499999999999993" customHeight="1" x14ac:dyDescent="0.25">
      <c r="A13" s="80" t="s">
        <v>15</v>
      </c>
      <c r="B13" s="81"/>
      <c r="C13" s="82"/>
      <c r="D13" s="82"/>
      <c r="E13" s="82"/>
      <c r="F13" s="82"/>
      <c r="G13" s="82"/>
      <c r="H13" s="82"/>
      <c r="I13" s="82"/>
      <c r="J13" s="82"/>
      <c r="K13" s="82"/>
      <c r="L13" s="83"/>
      <c r="M13" s="83"/>
      <c r="N13" s="84"/>
    </row>
    <row r="14" spans="1:14" ht="15" customHeight="1" x14ac:dyDescent="0.25">
      <c r="A14" s="85" t="s">
        <v>16</v>
      </c>
      <c r="B14" s="86">
        <v>2024</v>
      </c>
      <c r="C14" s="87">
        <v>10226.200000000001</v>
      </c>
      <c r="D14" s="87">
        <v>8570.9</v>
      </c>
      <c r="E14" s="87">
        <v>9825.7999999999993</v>
      </c>
      <c r="F14" s="87">
        <v>10141.9</v>
      </c>
      <c r="G14" s="87">
        <v>11475.8</v>
      </c>
      <c r="H14" s="87">
        <v>14661.3</v>
      </c>
      <c r="I14" s="87">
        <v>17804.599999999999</v>
      </c>
      <c r="J14" s="87">
        <v>17805.8</v>
      </c>
      <c r="K14" s="87">
        <v>13352.1</v>
      </c>
      <c r="L14" s="87">
        <v>11242.4</v>
      </c>
      <c r="M14" s="87">
        <v>10189.6</v>
      </c>
      <c r="N14" s="88">
        <v>10258.799999999999</v>
      </c>
    </row>
    <row r="15" spans="1:14" ht="15" customHeight="1" x14ac:dyDescent="0.25">
      <c r="A15" s="85"/>
      <c r="B15" s="86">
        <v>2025</v>
      </c>
      <c r="C15" s="115">
        <v>10555.6</v>
      </c>
      <c r="D15" s="115">
        <v>8311.7000000000007</v>
      </c>
      <c r="E15" s="115">
        <v>9971.1</v>
      </c>
      <c r="F15" s="115">
        <v>10362</v>
      </c>
      <c r="G15" s="115">
        <v>11910.1</v>
      </c>
      <c r="H15" s="115">
        <v>14140.6</v>
      </c>
      <c r="I15" s="115">
        <v>17425</v>
      </c>
      <c r="J15" s="115">
        <v>17475.099999999999</v>
      </c>
      <c r="K15" s="115">
        <v>12731.1</v>
      </c>
      <c r="L15" s="115">
        <v>11026.8</v>
      </c>
      <c r="M15" s="115">
        <v>10405.4</v>
      </c>
      <c r="N15" s="88">
        <v>9997.7000000000007</v>
      </c>
    </row>
    <row r="16" spans="1:14" ht="15" customHeight="1" x14ac:dyDescent="0.25">
      <c r="A16" s="85"/>
      <c r="B16" s="86">
        <v>2026</v>
      </c>
      <c r="C16" s="123">
        <v>10530.8</v>
      </c>
      <c r="D16" s="115">
        <v>8000.1</v>
      </c>
      <c r="E16" s="115"/>
      <c r="F16" s="115"/>
      <c r="G16" s="115"/>
      <c r="H16" s="115"/>
      <c r="I16" s="115"/>
      <c r="J16" s="115"/>
      <c r="K16" s="115"/>
      <c r="L16" s="115"/>
      <c r="M16" s="115"/>
      <c r="N16" s="116"/>
    </row>
    <row r="17" spans="1:14" ht="15" customHeight="1" x14ac:dyDescent="0.25">
      <c r="A17" s="85"/>
      <c r="B17" s="89"/>
      <c r="C17" s="87"/>
      <c r="D17" s="87"/>
      <c r="E17" s="87"/>
      <c r="F17" s="87"/>
      <c r="G17" s="87"/>
      <c r="H17" s="87"/>
      <c r="I17" s="87"/>
      <c r="J17" s="87"/>
      <c r="K17" s="87"/>
      <c r="L17" s="90"/>
      <c r="M17" s="90"/>
      <c r="N17" s="91"/>
    </row>
    <row r="18" spans="1:14" ht="15" customHeight="1" x14ac:dyDescent="0.25">
      <c r="A18" s="85" t="s">
        <v>49</v>
      </c>
      <c r="B18" s="86">
        <v>2024</v>
      </c>
      <c r="C18" s="87">
        <v>7041.5</v>
      </c>
      <c r="D18" s="87">
        <v>7361.7</v>
      </c>
      <c r="E18" s="87">
        <v>7991.3</v>
      </c>
      <c r="F18" s="87">
        <v>8094</v>
      </c>
      <c r="G18" s="87">
        <v>8171.4</v>
      </c>
      <c r="H18" s="87">
        <v>7941.7</v>
      </c>
      <c r="I18" s="87">
        <v>7997.6</v>
      </c>
      <c r="J18" s="87">
        <v>8026.9</v>
      </c>
      <c r="K18" s="87">
        <v>8155.5</v>
      </c>
      <c r="L18" s="87">
        <v>8370.4</v>
      </c>
      <c r="M18" s="87">
        <v>8014.4</v>
      </c>
      <c r="N18" s="88">
        <v>8119.4</v>
      </c>
    </row>
    <row r="19" spans="1:14" ht="15" customHeight="1" x14ac:dyDescent="0.25">
      <c r="A19" s="85"/>
      <c r="B19" s="86">
        <v>2025</v>
      </c>
      <c r="C19" s="115">
        <v>7183.4</v>
      </c>
      <c r="D19" s="115">
        <v>7264.1</v>
      </c>
      <c r="E19" s="115">
        <v>8016.5</v>
      </c>
      <c r="F19" s="115">
        <v>8177.2</v>
      </c>
      <c r="G19" s="115">
        <v>8109.6</v>
      </c>
      <c r="H19" s="115">
        <v>7916.7</v>
      </c>
      <c r="I19" s="115">
        <v>7961.5</v>
      </c>
      <c r="J19" s="115">
        <v>7943.5</v>
      </c>
      <c r="K19" s="115">
        <v>8217.7999999999993</v>
      </c>
      <c r="L19" s="115">
        <v>8512.5</v>
      </c>
      <c r="M19" s="115">
        <v>7937.7</v>
      </c>
      <c r="N19" s="116">
        <v>8055.4</v>
      </c>
    </row>
    <row r="20" spans="1:14" ht="15" customHeight="1" x14ac:dyDescent="0.25">
      <c r="A20" s="85"/>
      <c r="B20" s="86">
        <v>2026</v>
      </c>
      <c r="C20" s="123">
        <v>7179.9</v>
      </c>
      <c r="D20" s="115">
        <v>7402.1</v>
      </c>
      <c r="E20" s="115"/>
      <c r="F20" s="115"/>
      <c r="G20" s="115"/>
      <c r="H20" s="115"/>
      <c r="I20" s="115"/>
      <c r="J20" s="115"/>
      <c r="K20" s="115"/>
      <c r="L20" s="115"/>
      <c r="M20" s="115"/>
      <c r="N20" s="116"/>
    </row>
    <row r="21" spans="1:14" ht="15" customHeight="1" x14ac:dyDescent="0.25">
      <c r="A21" s="85"/>
      <c r="B21" s="89"/>
      <c r="C21" s="87"/>
      <c r="D21" s="87"/>
      <c r="E21" s="87"/>
      <c r="F21" s="87"/>
      <c r="G21" s="87"/>
      <c r="H21" s="87"/>
      <c r="I21" s="87"/>
      <c r="J21" s="87"/>
      <c r="K21" s="87"/>
      <c r="L21" s="92"/>
      <c r="M21" s="92"/>
      <c r="N21" s="93"/>
    </row>
    <row r="22" spans="1:14" ht="15" customHeight="1" x14ac:dyDescent="0.25">
      <c r="A22" s="85" t="s">
        <v>50</v>
      </c>
      <c r="B22" s="86" t="s">
        <v>65</v>
      </c>
      <c r="C22" s="115">
        <v>1.2</v>
      </c>
      <c r="D22" s="115">
        <v>1.2</v>
      </c>
      <c r="E22" s="115">
        <v>1.4</v>
      </c>
      <c r="F22" s="115">
        <v>9.4</v>
      </c>
      <c r="G22" s="115">
        <v>82.1</v>
      </c>
      <c r="H22" s="115">
        <v>120</v>
      </c>
      <c r="I22" s="115">
        <v>164</v>
      </c>
      <c r="J22" s="115">
        <v>174.6</v>
      </c>
      <c r="K22" s="115">
        <v>122.6</v>
      </c>
      <c r="L22" s="115">
        <v>46.8</v>
      </c>
      <c r="M22" s="115">
        <v>7.9</v>
      </c>
      <c r="N22" s="116">
        <v>2.6</v>
      </c>
    </row>
    <row r="23" spans="1:14" s="73" customFormat="1" ht="15" customHeight="1" x14ac:dyDescent="0.25">
      <c r="A23" s="94"/>
      <c r="B23" s="86" t="s">
        <v>51</v>
      </c>
      <c r="C23" s="87">
        <v>1.1000000000000001</v>
      </c>
      <c r="D23" s="87">
        <v>1.2</v>
      </c>
      <c r="E23" s="87">
        <v>5.0999999999999996</v>
      </c>
      <c r="F23" s="87">
        <v>10.199999999999999</v>
      </c>
      <c r="G23" s="87">
        <v>73.8</v>
      </c>
      <c r="H23" s="87">
        <v>129.5</v>
      </c>
      <c r="I23" s="87">
        <v>184.7</v>
      </c>
      <c r="J23" s="115">
        <v>235.4</v>
      </c>
      <c r="K23" s="87">
        <v>76.299999999999955</v>
      </c>
      <c r="L23" s="87">
        <v>46.400000000000091</v>
      </c>
      <c r="M23" s="87">
        <v>8.2999999999999545</v>
      </c>
      <c r="N23" s="91">
        <v>2.6</v>
      </c>
    </row>
    <row r="24" spans="1:14" s="73" customFormat="1" ht="15" customHeight="1" x14ac:dyDescent="0.25">
      <c r="A24" s="85"/>
      <c r="B24" s="86" t="s">
        <v>66</v>
      </c>
      <c r="C24" s="123">
        <v>2.2000000000000002</v>
      </c>
      <c r="D24" s="115">
        <v>4.7</v>
      </c>
      <c r="E24" s="87"/>
      <c r="F24" s="87"/>
      <c r="G24" s="87"/>
      <c r="H24" s="87"/>
      <c r="I24" s="87"/>
      <c r="J24" s="115"/>
      <c r="K24" s="87"/>
      <c r="L24" s="87"/>
      <c r="M24" s="87"/>
      <c r="N24" s="91"/>
    </row>
    <row r="25" spans="1:14" s="73" customFormat="1" ht="15" customHeight="1" x14ac:dyDescent="0.25">
      <c r="A25" s="85"/>
      <c r="B25" s="89"/>
      <c r="C25" s="87"/>
      <c r="D25" s="87"/>
      <c r="E25" s="87"/>
      <c r="F25" s="87"/>
      <c r="G25" s="87"/>
      <c r="H25" s="87"/>
      <c r="I25" s="87"/>
      <c r="J25" s="87"/>
      <c r="K25" s="87"/>
      <c r="L25" s="92"/>
      <c r="M25" s="92"/>
      <c r="N25" s="93"/>
    </row>
    <row r="26" spans="1:14" s="73" customFormat="1" ht="15" customHeight="1" x14ac:dyDescent="0.25">
      <c r="A26" s="85" t="s">
        <v>52</v>
      </c>
      <c r="B26" s="86" t="s">
        <v>65</v>
      </c>
      <c r="C26" s="87">
        <v>0.4</v>
      </c>
      <c r="D26" s="87">
        <v>1</v>
      </c>
      <c r="E26" s="87">
        <v>0.8</v>
      </c>
      <c r="F26" s="87">
        <v>0.7</v>
      </c>
      <c r="G26" s="87">
        <v>0.7</v>
      </c>
      <c r="H26" s="87">
        <v>1.2</v>
      </c>
      <c r="I26" s="87">
        <v>4.7</v>
      </c>
      <c r="J26" s="87">
        <v>5.0999999999999996</v>
      </c>
      <c r="K26" s="87">
        <v>3.2</v>
      </c>
      <c r="L26" s="87">
        <v>7</v>
      </c>
      <c r="M26" s="87">
        <v>4.9000000000000004</v>
      </c>
      <c r="N26" s="88">
        <v>4.5</v>
      </c>
    </row>
    <row r="27" spans="1:14" s="73" customFormat="1" ht="15" customHeight="1" x14ac:dyDescent="0.25">
      <c r="A27" s="85"/>
      <c r="B27" s="86" t="s">
        <v>51</v>
      </c>
      <c r="C27" s="87">
        <v>1</v>
      </c>
      <c r="D27" s="87">
        <v>2</v>
      </c>
      <c r="E27" s="87">
        <v>2</v>
      </c>
      <c r="F27" s="87">
        <v>2.2999999999999998</v>
      </c>
      <c r="G27" s="115">
        <v>2.9</v>
      </c>
      <c r="H27" s="87">
        <v>4</v>
      </c>
      <c r="I27" s="87">
        <v>3.5</v>
      </c>
      <c r="J27" s="115">
        <v>8.1</v>
      </c>
      <c r="K27" s="87">
        <v>4.5999999999999996</v>
      </c>
      <c r="L27" s="87">
        <v>2.3999999999999986</v>
      </c>
      <c r="M27" s="87">
        <v>2.2000000000000002</v>
      </c>
      <c r="N27" s="91">
        <v>1.8</v>
      </c>
    </row>
    <row r="28" spans="1:14" ht="15" customHeight="1" x14ac:dyDescent="0.25">
      <c r="A28" s="85"/>
      <c r="B28" s="86" t="s">
        <v>66</v>
      </c>
      <c r="C28" s="115">
        <v>0.9</v>
      </c>
      <c r="D28" s="115">
        <v>1.9</v>
      </c>
      <c r="E28" s="87"/>
      <c r="F28" s="87"/>
      <c r="G28" s="115"/>
      <c r="H28" s="87"/>
      <c r="I28" s="87"/>
      <c r="J28" s="115"/>
      <c r="K28" s="87"/>
      <c r="L28" s="87"/>
      <c r="M28" s="87"/>
      <c r="N28" s="91"/>
    </row>
    <row r="29" spans="1:14" ht="15" customHeight="1" x14ac:dyDescent="0.25">
      <c r="A29" s="85"/>
      <c r="B29" s="89"/>
      <c r="C29" s="87"/>
      <c r="D29" s="87"/>
      <c r="E29" s="87"/>
      <c r="F29" s="87"/>
      <c r="G29" s="87"/>
      <c r="H29" s="87"/>
      <c r="I29" s="87"/>
      <c r="J29" s="87"/>
      <c r="K29" s="87"/>
      <c r="L29" s="90"/>
      <c r="M29" s="90"/>
      <c r="N29" s="91"/>
    </row>
    <row r="30" spans="1:14" ht="15" customHeight="1" x14ac:dyDescent="0.25">
      <c r="A30" s="85" t="s">
        <v>53</v>
      </c>
      <c r="B30" s="86">
        <v>2024</v>
      </c>
      <c r="C30" s="87">
        <v>20514.900000000001</v>
      </c>
      <c r="D30" s="87">
        <v>18844.400000000001</v>
      </c>
      <c r="E30" s="87">
        <v>20975.5</v>
      </c>
      <c r="F30" s="87">
        <v>21119.4</v>
      </c>
      <c r="G30" s="87">
        <v>23158.3</v>
      </c>
      <c r="H30" s="87">
        <v>26824.5</v>
      </c>
      <c r="I30" s="87">
        <v>30494</v>
      </c>
      <c r="J30" s="87">
        <v>30986.400000000001</v>
      </c>
      <c r="K30" s="87">
        <v>27273.1</v>
      </c>
      <c r="L30" s="87">
        <v>24329.8</v>
      </c>
      <c r="M30" s="87">
        <v>20698.900000000001</v>
      </c>
      <c r="N30" s="88">
        <v>21017.4</v>
      </c>
    </row>
    <row r="31" spans="1:14" ht="15" customHeight="1" x14ac:dyDescent="0.25">
      <c r="A31" s="85" t="s">
        <v>54</v>
      </c>
      <c r="B31" s="86">
        <v>2025</v>
      </c>
      <c r="C31" s="115">
        <v>20945.5</v>
      </c>
      <c r="D31" s="115">
        <v>18457.8</v>
      </c>
      <c r="E31" s="115">
        <v>21186.6</v>
      </c>
      <c r="F31" s="115">
        <v>21825.3</v>
      </c>
      <c r="G31" s="115">
        <v>23145.200000000001</v>
      </c>
      <c r="H31" s="115">
        <v>26092.2</v>
      </c>
      <c r="I31" s="115">
        <v>29136.5</v>
      </c>
      <c r="J31" s="115">
        <v>29978.7</v>
      </c>
      <c r="K31" s="115">
        <v>26072.5</v>
      </c>
      <c r="L31" s="115">
        <v>24447.7</v>
      </c>
      <c r="M31" s="115">
        <v>21492.799999999999</v>
      </c>
      <c r="N31" s="88">
        <v>21659.3</v>
      </c>
    </row>
    <row r="32" spans="1:14" ht="15" customHeight="1" x14ac:dyDescent="0.25">
      <c r="A32" s="95"/>
      <c r="B32" s="96">
        <v>2026</v>
      </c>
      <c r="C32" s="121">
        <v>22064.9</v>
      </c>
      <c r="D32" s="118">
        <v>18852.5</v>
      </c>
      <c r="E32" s="118"/>
      <c r="F32" s="118"/>
      <c r="G32" s="118"/>
      <c r="H32" s="118"/>
      <c r="I32" s="118"/>
      <c r="J32" s="118"/>
      <c r="K32" s="118"/>
      <c r="L32" s="118"/>
      <c r="M32" s="118"/>
      <c r="N32" s="122"/>
    </row>
    <row r="33" spans="1:14" x14ac:dyDescent="0.25">
      <c r="A33" s="97"/>
      <c r="B33" s="71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</row>
    <row r="34" spans="1:14" x14ac:dyDescent="0.25">
      <c r="A34" s="137" t="s">
        <v>55</v>
      </c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</row>
    <row r="35" spans="1:14" ht="16.5" x14ac:dyDescent="0.25">
      <c r="A35" s="132" t="s">
        <v>56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</row>
    <row r="36" spans="1:14" ht="15.75" x14ac:dyDescent="0.25">
      <c r="A36" s="98" t="s">
        <v>57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</row>
    <row r="37" spans="1:14" ht="16.5" x14ac:dyDescent="0.25">
      <c r="A37" s="120" t="s">
        <v>58</v>
      </c>
    </row>
    <row r="38" spans="1:14" ht="16.5" x14ac:dyDescent="0.25">
      <c r="A38" s="64" t="s">
        <v>59</v>
      </c>
      <c r="B38" s="71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</row>
    <row r="39" spans="1:14" x14ac:dyDescent="0.25">
      <c r="A39" s="71"/>
      <c r="B39" s="71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</row>
    <row r="40" spans="1:14" x14ac:dyDescent="0.25">
      <c r="C40" s="117"/>
      <c r="D40" s="117"/>
      <c r="E40" s="117"/>
      <c r="F40" s="117"/>
      <c r="G40" s="117"/>
      <c r="H40" s="117"/>
      <c r="I40" s="117"/>
    </row>
  </sheetData>
  <mergeCells count="5">
    <mergeCell ref="A35:N35"/>
    <mergeCell ref="A2:N2"/>
    <mergeCell ref="M3:N3"/>
    <mergeCell ref="A6:A12"/>
    <mergeCell ref="A34:N34"/>
  </mergeCells>
  <hyperlinks>
    <hyperlink ref="A1" location="'Содержание'!A1" display="В содержание"/>
  </hyperlinks>
  <pageMargins left="0.25" right="0.25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Содержание</vt:lpstr>
      <vt:lpstr>1</vt:lpstr>
      <vt:lpstr>2</vt:lpstr>
      <vt:lpstr>3</vt:lpstr>
      <vt:lpstr>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Смирнова Татьяна Александровна</cp:lastModifiedBy>
  <cp:revision>1</cp:revision>
  <cp:lastPrinted>2026-03-27T12:22:00Z</cp:lastPrinted>
  <dcterms:created xsi:type="dcterms:W3CDTF">2006-09-16T00:00:00Z</dcterms:created>
  <dcterms:modified xsi:type="dcterms:W3CDTF">2026-03-27T12:24:36Z</dcterms:modified>
</cp:coreProperties>
</file>