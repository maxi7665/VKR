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ca_ws0722\Общая папка отдела\ИНТЕРНЕТ\Основные показатели транспорта\2026\"/>
    </mc:Choice>
  </mc:AlternateContent>
  <bookViews>
    <workbookView xWindow="0" yWindow="0" windowWidth="28800" windowHeight="12345" activeTab="4"/>
  </bookViews>
  <sheets>
    <sheet name="Содержание" sheetId="1" r:id="rId1"/>
    <sheet name="1" sheetId="2" r:id="rId2"/>
    <sheet name="2" sheetId="3" r:id="rId3"/>
    <sheet name="3" sheetId="4" r:id="rId4"/>
    <sheet name="4" sheetId="5" r:id="rId5"/>
  </sheets>
  <calcPr calcId="162913"/>
</workbook>
</file>

<file path=xl/calcChain.xml><?xml version="1.0" encoding="utf-8"?>
<calcChain xmlns="http://schemas.openxmlformats.org/spreadsheetml/2006/main">
  <c r="Z7" i="3" l="1"/>
  <c r="N10" i="5" l="1"/>
  <c r="M10" i="5"/>
  <c r="L10" i="5"/>
  <c r="K10" i="5"/>
  <c r="J10" i="5"/>
  <c r="I10" i="5"/>
  <c r="H10" i="5"/>
  <c r="G10" i="5"/>
  <c r="F10" i="5"/>
  <c r="E10" i="5"/>
  <c r="D10" i="5"/>
  <c r="C10" i="5"/>
  <c r="N7" i="5"/>
  <c r="M7" i="5"/>
  <c r="L7" i="5"/>
  <c r="K7" i="5"/>
  <c r="J7" i="5"/>
  <c r="I7" i="5"/>
  <c r="H7" i="5"/>
  <c r="G7" i="5"/>
  <c r="F7" i="5"/>
  <c r="E7" i="5"/>
  <c r="D7" i="5"/>
  <c r="C7" i="5"/>
  <c r="N6" i="5"/>
  <c r="M6" i="5"/>
  <c r="L6" i="5"/>
  <c r="K6" i="5"/>
  <c r="J6" i="5"/>
  <c r="I6" i="5"/>
  <c r="H6" i="5"/>
  <c r="G6" i="5"/>
  <c r="F6" i="5"/>
  <c r="E6" i="5"/>
  <c r="D6" i="5"/>
  <c r="C6" i="5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C9" i="5" l="1"/>
  <c r="K12" i="5"/>
  <c r="G12" i="5"/>
  <c r="D12" i="5"/>
  <c r="H12" i="5"/>
  <c r="L12" i="5"/>
  <c r="I8" i="5"/>
  <c r="E12" i="5"/>
  <c r="I12" i="5"/>
  <c r="M12" i="5"/>
  <c r="N9" i="5"/>
  <c r="F12" i="5"/>
  <c r="J12" i="5"/>
  <c r="N12" i="5"/>
  <c r="G9" i="5"/>
  <c r="K9" i="5"/>
  <c r="C12" i="5"/>
  <c r="H9" i="5"/>
  <c r="E9" i="5"/>
  <c r="M9" i="5"/>
  <c r="D9" i="5"/>
  <c r="L9" i="5"/>
  <c r="F9" i="5"/>
  <c r="J9" i="5"/>
  <c r="E8" i="5"/>
  <c r="I9" i="5"/>
  <c r="C8" i="5"/>
  <c r="G8" i="5"/>
  <c r="K8" i="5"/>
  <c r="C11" i="5"/>
  <c r="G11" i="5"/>
  <c r="K11" i="5"/>
  <c r="D8" i="5"/>
  <c r="H8" i="5"/>
  <c r="L8" i="5"/>
  <c r="D11" i="5"/>
  <c r="H11" i="5"/>
  <c r="L11" i="5"/>
  <c r="M8" i="5"/>
  <c r="E11" i="5"/>
  <c r="I11" i="5"/>
  <c r="M11" i="5"/>
  <c r="F8" i="5"/>
  <c r="J8" i="5"/>
  <c r="N8" i="5"/>
  <c r="F11" i="5"/>
  <c r="J11" i="5"/>
  <c r="N11" i="5"/>
</calcChain>
</file>

<file path=xl/sharedStrings.xml><?xml version="1.0" encoding="utf-8"?>
<sst xmlns="http://schemas.openxmlformats.org/spreadsheetml/2006/main" count="83" uniqueCount="68">
  <si>
    <t>Содержание</t>
  </si>
  <si>
    <t>1.</t>
  </si>
  <si>
    <t>2.</t>
  </si>
  <si>
    <t>3.</t>
  </si>
  <si>
    <t>Диаграмма</t>
  </si>
  <si>
    <t>4.</t>
  </si>
  <si>
    <t>Ответственный исполнитель:</t>
  </si>
  <si>
    <t>Смирнова Татьяна Александровна</t>
  </si>
  <si>
    <t>8 (495) 568-00-42 (доб. 99-354)</t>
  </si>
  <si>
    <t>Перевозки пассажиров по видам транспорта общего пользования по Российской Федерации</t>
  </si>
  <si>
    <t>(миллион человек)</t>
  </si>
  <si>
    <r>
      <t>2022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</si>
  <si>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2023</t>
    </r>
    <r>
      <rPr>
        <vertAlign val="superscript"/>
        <sz val="12"/>
        <color theme="1"/>
        <rFont val="Times New Roman"/>
        <family val="1"/>
        <charset val="204"/>
      </rPr>
      <t>1)</t>
    </r>
  </si>
  <si>
    <t xml:space="preserve">Транспорт - всего </t>
  </si>
  <si>
    <t>в том числе:</t>
  </si>
  <si>
    <t>железнодорожный</t>
  </si>
  <si>
    <r>
      <t>автобусный</t>
    </r>
    <r>
      <rPr>
        <vertAlign val="superscript"/>
        <sz val="12"/>
        <rFont val="Times New Roman"/>
        <family val="1"/>
        <charset val="204"/>
      </rPr>
      <t>2)</t>
    </r>
  </si>
  <si>
    <t>трамвайный</t>
  </si>
  <si>
    <t>троллейбусный</t>
  </si>
  <si>
    <t>метрополитен</t>
  </si>
  <si>
    <r>
      <t>морской</t>
    </r>
    <r>
      <rPr>
        <vertAlign val="superscript"/>
        <sz val="12"/>
        <color indexed="64"/>
        <rFont val="Times New Roman"/>
        <family val="1"/>
        <charset val="204"/>
      </rPr>
      <t>3)</t>
    </r>
  </si>
  <si>
    <r>
      <t>внутренний водный</t>
    </r>
    <r>
      <rPr>
        <vertAlign val="superscript"/>
        <sz val="12"/>
        <color indexed="64"/>
        <rFont val="Times New Roman"/>
        <family val="1"/>
        <charset val="204"/>
      </rPr>
      <t>3)</t>
    </r>
  </si>
  <si>
    <r>
      <t>воздушный</t>
    </r>
    <r>
      <rPr>
        <vertAlign val="superscript"/>
        <sz val="12"/>
        <color indexed="64"/>
        <rFont val="Times New Roman"/>
        <family val="1"/>
        <charset val="204"/>
      </rPr>
      <t xml:space="preserve">4) 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</si>
  <si>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</si>
  <si>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2"/>
        <color indexed="64"/>
        <rFont val="Times New Roman"/>
        <family val="1"/>
        <charset val="204"/>
      </rPr>
      <t xml:space="preserve">2) </t>
    </r>
    <r>
      <rPr>
        <sz val="12"/>
        <color indexed="64"/>
        <rFont val="Times New Roman"/>
        <family val="1"/>
        <charset val="204"/>
      </rPr>
      <t>Данные приведены по юридическим лицам и индивидуальным предпринимателям  (включая субъекты малого предпринимательства), осуществляющим перевозки пассажиров автобусами.</t>
    </r>
  </si>
  <si>
    <r>
      <rPr>
        <vertAlign val="superscript"/>
        <sz val="12"/>
        <rFont val="Times New Roman"/>
        <family val="1"/>
        <charset val="204"/>
      </rPr>
      <t xml:space="preserve">3) </t>
    </r>
    <r>
      <rPr>
        <sz val="12"/>
        <rFont val="Times New Roman"/>
        <family val="1"/>
        <charset val="204"/>
      </rPr>
      <t>С 2015 г. - по данным Росморречфлота.</t>
    </r>
  </si>
  <si>
    <r>
      <rPr>
        <vertAlign val="superscript"/>
        <sz val="12"/>
        <color indexed="64"/>
        <rFont val="Times New Roman"/>
        <family val="1"/>
        <charset val="204"/>
      </rPr>
      <t>4)</t>
    </r>
    <r>
      <rPr>
        <sz val="12"/>
        <color indexed="64"/>
        <rFont val="Times New Roman"/>
        <family val="1"/>
        <charset val="204"/>
      </rPr>
      <t xml:space="preserve"> По данным Росавиации.</t>
    </r>
  </si>
  <si>
    <t>Структура перевозок пассажиров по видам транспорта по Российской Федерации</t>
  </si>
  <si>
    <t>(процент)</t>
  </si>
  <si>
    <t>воздушный</t>
  </si>
  <si>
    <t>автомобильный</t>
  </si>
  <si>
    <t>водный</t>
  </si>
  <si>
    <t>городской электрический</t>
  </si>
  <si>
    <r>
      <t>Перевозки пассажиров по видам транспорта</t>
    </r>
    <r>
      <rPr>
        <b/>
        <vertAlign val="superscript"/>
        <sz val="11"/>
        <rFont val="Times New Roman"/>
        <family val="1"/>
        <charset val="204"/>
      </rPr>
      <t>1)2)</t>
    </r>
  </si>
  <si>
    <t>(тыс. человек)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</si>
  <si>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</si>
  <si>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</si>
  <si>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</si>
  <si>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</si>
  <si>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</si>
  <si>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</si>
  <si>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</si>
  <si>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</si>
  <si>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</si>
  <si>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</si>
  <si>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</si>
  <si>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</si>
  <si>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ВСЕГО</t>
  </si>
  <si>
    <t>в % к прошлому году</t>
  </si>
  <si>
    <t>в % к предыдущему месяцу</t>
  </si>
  <si>
    <r>
      <t>автобусный</t>
    </r>
    <r>
      <rPr>
        <vertAlign val="superscript"/>
        <sz val="10"/>
        <rFont val="Times New Roman"/>
        <family val="1"/>
        <charset val="204"/>
      </rPr>
      <t>3)</t>
    </r>
  </si>
  <si>
    <t>внутренний водный</t>
  </si>
  <si>
    <r>
      <t>2025</t>
    </r>
    <r>
      <rPr>
        <vertAlign val="superscript"/>
        <sz val="9"/>
        <rFont val="Times New Roman"/>
        <family val="1"/>
        <charset val="204"/>
      </rPr>
      <t>4)</t>
    </r>
  </si>
  <si>
    <t>морской</t>
  </si>
  <si>
    <r>
      <t>воздушный</t>
    </r>
    <r>
      <rPr>
        <vertAlign val="superscript"/>
        <sz val="10"/>
        <rFont val="Times New Roman"/>
        <family val="1"/>
        <charset val="204"/>
      </rPr>
      <t>5)</t>
    </r>
  </si>
  <si>
    <t>(транспортная авиация)</t>
  </si>
  <si>
    <r>
      <rPr>
        <vertAlign val="superscript"/>
        <sz val="10"/>
        <rFont val="Times New Roman"/>
        <family val="1"/>
        <charset val="204"/>
      </rPr>
      <t>1)</t>
    </r>
    <r>
      <rPr>
        <sz val="10"/>
        <rFont val="Times New Roman"/>
        <family val="1"/>
        <charset val="204"/>
      </rPr>
      <t xml:space="preserve"> Данные изменены в связи с уточнением респондентами ранее предоставленных данных. Изменения выделены красным цветом шрифта.</t>
    </r>
  </si>
  <si>
    <r>
      <rPr>
        <vertAlign val="superscript"/>
        <sz val="10"/>
        <rFont val="Times New Roman"/>
        <family val="1"/>
        <charset val="204"/>
      </rPr>
      <t>2)</t>
    </r>
    <r>
      <rPr>
        <sz val="10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</si>
  <si>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0"/>
        <rFont val="Times New Roman"/>
        <family val="1"/>
        <charset val="204"/>
      </rPr>
      <t>3)</t>
    </r>
    <r>
      <rPr>
        <sz val="10"/>
        <rFont val="Times New Roman"/>
        <family val="1"/>
        <charset val="204"/>
      </rPr>
      <t xml:space="preserve"> Без учета объемов, выполненных по заказам и туристско-экскурсионным маршрутам.</t>
    </r>
  </si>
  <si>
    <r>
      <rPr>
        <vertAlign val="superscript"/>
        <sz val="10"/>
        <rFont val="Times New Roman"/>
        <family val="1"/>
        <charset val="204"/>
      </rPr>
      <t>4)</t>
    </r>
    <r>
      <rPr>
        <sz val="10"/>
        <rFont val="Times New Roman"/>
        <family val="1"/>
        <charset val="204"/>
      </rPr>
      <t xml:space="preserve"> По данным Росморречфлота, опубликованным в Единой межведомственной информационно-статистической системе.</t>
    </r>
  </si>
  <si>
    <r>
      <rPr>
        <vertAlign val="superscript"/>
        <sz val="10"/>
        <rFont val="Times New Roman"/>
        <family val="1"/>
        <charset val="204"/>
      </rPr>
      <t>5)</t>
    </r>
    <r>
      <rPr>
        <sz val="10"/>
        <rFont val="Times New Roman"/>
        <family val="1"/>
        <charset val="204"/>
      </rPr>
      <t xml:space="preserve"> По данным Росавиации.</t>
    </r>
  </si>
  <si>
    <r>
      <t>2024</t>
    </r>
    <r>
      <rPr>
        <vertAlign val="superscript"/>
        <sz val="12"/>
        <color theme="1"/>
        <rFont val="Times New Roman"/>
        <family val="1"/>
        <charset val="204"/>
      </rPr>
      <t>1)</t>
    </r>
  </si>
  <si>
    <t>В содержание</t>
  </si>
  <si>
    <t>Перевозки пассажиров по видам транспорта общего пользования по Российской Федерации (с 2000 по 2024 год)</t>
  </si>
  <si>
    <t>Структура перевозок пассажиров по видам транспорта общего пользования по Российской Федерации (с 2000 по 2024 год)</t>
  </si>
  <si>
    <r>
      <t>2024</t>
    </r>
    <r>
      <rPr>
        <vertAlign val="superscript"/>
        <sz val="9"/>
        <rFont val="Times New Roman"/>
        <family val="1"/>
        <charset val="204"/>
      </rPr>
      <t>4)</t>
    </r>
  </si>
  <si>
    <r>
      <t>2026</t>
    </r>
    <r>
      <rPr>
        <vertAlign val="superscript"/>
        <sz val="9"/>
        <rFont val="Times New Roman"/>
        <family val="1"/>
        <charset val="204"/>
      </rPr>
      <t>4)</t>
    </r>
  </si>
  <si>
    <t>Перевозки пассажиров по видам транспорта общего пользования по Российской Федерации по месяцам (оперативная информация, с 2024 года)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</si>
</sst>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.0"/>
    <numFmt numFmtId="166" formatCode="#,##0.0_ ;[Red]\-#,##0.0\ "/>
  </numFmts>
  <fonts count="4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4"/>
      <color theme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64"/>
      <name val="Times New Roman"/>
      <family val="1"/>
      <charset val="204"/>
    </font>
    <font>
      <b/>
      <sz val="14"/>
      <color indexed="64"/>
      <name val="Times New Roman"/>
      <family val="1"/>
      <charset val="204"/>
    </font>
    <font>
      <sz val="12"/>
      <color indexed="64"/>
      <name val="Times New Roman"/>
      <family val="1"/>
      <charset val="204"/>
    </font>
    <font>
      <b/>
      <sz val="12"/>
      <color indexed="64"/>
      <name val="Times New Roman"/>
      <family val="1"/>
      <charset val="204"/>
    </font>
    <font>
      <vertAlign val="superscript"/>
      <sz val="12"/>
      <color indexed="64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9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sz val="11"/>
      <color indexed="64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Protection="0"/>
    <xf numFmtId="0" fontId="3" fillId="0" borderId="0"/>
  </cellStyleXfs>
  <cellXfs count="17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1" applyFont="1"/>
    <xf numFmtId="0" fontId="6" fillId="0" borderId="0" xfId="1" applyFont="1" applyAlignment="1">
      <alignment horizontal="left"/>
    </xf>
    <xf numFmtId="0" fontId="7" fillId="0" borderId="0" xfId="2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/>
    <xf numFmtId="0" fontId="12" fillId="3" borderId="2" xfId="0" applyFont="1" applyFill="1" applyBorder="1"/>
    <xf numFmtId="0" fontId="12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/>
    <xf numFmtId="0" fontId="4" fillId="0" borderId="6" xfId="0" applyFont="1" applyBorder="1"/>
    <xf numFmtId="0" fontId="13" fillId="0" borderId="7" xfId="0" applyFont="1" applyBorder="1"/>
    <xf numFmtId="164" fontId="13" fillId="0" borderId="8" xfId="0" applyNumberFormat="1" applyFont="1" applyBorder="1"/>
    <xf numFmtId="164" fontId="13" fillId="0" borderId="9" xfId="0" applyNumberFormat="1" applyFont="1" applyBorder="1"/>
    <xf numFmtId="164" fontId="8" fillId="0" borderId="9" xfId="0" applyNumberFormat="1" applyFont="1" applyBorder="1"/>
    <xf numFmtId="0" fontId="12" fillId="0" borderId="10" xfId="0" applyFont="1" applyBorder="1" applyAlignment="1">
      <alignment horizontal="left" indent="3"/>
    </xf>
    <xf numFmtId="164" fontId="12" fillId="0" borderId="11" xfId="0" applyNumberFormat="1" applyFont="1" applyBorder="1"/>
    <xf numFmtId="164" fontId="12" fillId="0" borderId="12" xfId="0" applyNumberFormat="1" applyFont="1" applyBorder="1"/>
    <xf numFmtId="164" fontId="4" fillId="0" borderId="12" xfId="0" applyNumberFormat="1" applyFont="1" applyBorder="1"/>
    <xf numFmtId="0" fontId="12" fillId="0" borderId="7" xfId="0" applyFont="1" applyBorder="1" applyAlignment="1">
      <alignment horizontal="left" indent="1"/>
    </xf>
    <xf numFmtId="165" fontId="0" fillId="0" borderId="0" xfId="0" applyNumberFormat="1"/>
    <xf numFmtId="0" fontId="9" fillId="0" borderId="10" xfId="0" applyFont="1" applyBorder="1" applyAlignment="1">
      <alignment horizontal="left" wrapText="1" indent="1"/>
    </xf>
    <xf numFmtId="0" fontId="12" fillId="0" borderId="10" xfId="0" applyFont="1" applyBorder="1" applyAlignment="1">
      <alignment horizontal="left" indent="1"/>
    </xf>
    <xf numFmtId="0" fontId="12" fillId="0" borderId="13" xfId="0" applyFont="1" applyBorder="1" applyAlignment="1">
      <alignment horizontal="left" indent="1"/>
    </xf>
    <xf numFmtId="164" fontId="12" fillId="0" borderId="14" xfId="0" applyNumberFormat="1" applyFont="1" applyBorder="1"/>
    <xf numFmtId="164" fontId="12" fillId="0" borderId="15" xfId="0" applyNumberFormat="1" applyFont="1" applyBorder="1"/>
    <xf numFmtId="164" fontId="4" fillId="0" borderId="15" xfId="0" applyNumberFormat="1" applyFont="1" applyBorder="1"/>
    <xf numFmtId="0" fontId="12" fillId="0" borderId="0" xfId="0" applyFont="1"/>
    <xf numFmtId="164" fontId="0" fillId="0" borderId="0" xfId="0" applyNumberFormat="1"/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0" borderId="3" xfId="0" applyFont="1" applyBorder="1"/>
    <xf numFmtId="0" fontId="16" fillId="0" borderId="5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65" fontId="16" fillId="0" borderId="9" xfId="0" applyNumberFormat="1" applyFont="1" applyBorder="1"/>
    <xf numFmtId="165" fontId="16" fillId="0" borderId="20" xfId="0" applyNumberFormat="1" applyFont="1" applyBorder="1"/>
    <xf numFmtId="165" fontId="16" fillId="0" borderId="21" xfId="0" applyNumberFormat="1" applyFont="1" applyBorder="1"/>
    <xf numFmtId="0" fontId="15" fillId="0" borderId="12" xfId="0" applyFont="1" applyBorder="1"/>
    <xf numFmtId="0" fontId="15" fillId="0" borderId="7" xfId="0" applyFont="1" applyBorder="1"/>
    <xf numFmtId="0" fontId="15" fillId="0" borderId="22" xfId="0" applyFont="1" applyBorder="1"/>
    <xf numFmtId="0" fontId="15" fillId="0" borderId="7" xfId="0" applyFont="1" applyBorder="1" applyAlignment="1">
      <alignment horizontal="left" indent="1"/>
    </xf>
    <xf numFmtId="165" fontId="15" fillId="0" borderId="12" xfId="0" applyNumberFormat="1" applyFont="1" applyBorder="1"/>
    <xf numFmtId="165" fontId="15" fillId="0" borderId="7" xfId="0" applyNumberFormat="1" applyFont="1" applyBorder="1"/>
    <xf numFmtId="165" fontId="15" fillId="0" borderId="22" xfId="0" applyNumberFormat="1" applyFont="1" applyBorder="1"/>
    <xf numFmtId="0" fontId="15" fillId="0" borderId="23" xfId="0" applyFont="1" applyBorder="1" applyAlignment="1">
      <alignment horizontal="left" indent="1"/>
    </xf>
    <xf numFmtId="165" fontId="15" fillId="0" borderId="15" xfId="0" applyNumberFormat="1" applyFont="1" applyBorder="1"/>
    <xf numFmtId="165" fontId="15" fillId="0" borderId="23" xfId="0" applyNumberFormat="1" applyFont="1" applyBorder="1"/>
    <xf numFmtId="0" fontId="15" fillId="0" borderId="23" xfId="0" applyFont="1" applyBorder="1"/>
    <xf numFmtId="0" fontId="15" fillId="0" borderId="24" xfId="0" applyFont="1" applyBorder="1"/>
    <xf numFmtId="165" fontId="15" fillId="0" borderId="24" xfId="0" applyNumberFormat="1" applyFont="1" applyBorder="1"/>
    <xf numFmtId="0" fontId="16" fillId="0" borderId="0" xfId="0" applyFont="1"/>
    <xf numFmtId="165" fontId="15" fillId="0" borderId="0" xfId="0" applyNumberFormat="1" applyFont="1"/>
    <xf numFmtId="2" fontId="15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center" vertical="center" wrapText="1"/>
    </xf>
    <xf numFmtId="0" fontId="19" fillId="0" borderId="0" xfId="0" applyFont="1"/>
    <xf numFmtId="0" fontId="18" fillId="0" borderId="2" xfId="0" applyFont="1" applyBorder="1" applyAlignment="1">
      <alignment horizontal="center" vertical="center" wrapText="1"/>
    </xf>
    <xf numFmtId="166" fontId="20" fillId="4" borderId="4" xfId="0" applyNumberFormat="1" applyFont="1" applyFill="1" applyBorder="1"/>
    <xf numFmtId="166" fontId="20" fillId="4" borderId="5" xfId="0" applyNumberFormat="1" applyFont="1" applyFill="1" applyBorder="1"/>
    <xf numFmtId="166" fontId="20" fillId="4" borderId="19" xfId="0" applyNumberFormat="1" applyFont="1" applyFill="1" applyBorder="1"/>
    <xf numFmtId="0" fontId="21" fillId="0" borderId="0" xfId="0" applyFont="1"/>
    <xf numFmtId="166" fontId="20" fillId="4" borderId="0" xfId="0" applyNumberFormat="1" applyFont="1" applyFill="1"/>
    <xf numFmtId="166" fontId="20" fillId="4" borderId="26" xfId="0" applyNumberFormat="1" applyFont="1" applyFill="1" applyBorder="1"/>
    <xf numFmtId="0" fontId="19" fillId="0" borderId="2" xfId="0" applyFont="1" applyBorder="1" applyAlignment="1">
      <alignment horizontal="center" wrapText="1"/>
    </xf>
    <xf numFmtId="166" fontId="17" fillId="4" borderId="25" xfId="0" applyNumberFormat="1" applyFont="1" applyFill="1" applyBorder="1"/>
    <xf numFmtId="166" fontId="17" fillId="4" borderId="0" xfId="0" applyNumberFormat="1" applyFont="1" applyFill="1"/>
    <xf numFmtId="166" fontId="17" fillId="4" borderId="26" xfId="0" applyNumberFormat="1" applyFont="1" applyFill="1" applyBorder="1"/>
    <xf numFmtId="166" fontId="17" fillId="4" borderId="0" xfId="0" applyNumberFormat="1" applyFont="1" applyFill="1" applyAlignment="1">
      <alignment vertical="center"/>
    </xf>
    <xf numFmtId="166" fontId="17" fillId="4" borderId="26" xfId="0" applyNumberFormat="1" applyFont="1" applyFill="1" applyBorder="1" applyAlignment="1">
      <alignment vertical="center"/>
    </xf>
    <xf numFmtId="166" fontId="17" fillId="4" borderId="1" xfId="0" applyNumberFormat="1" applyFont="1" applyFill="1" applyBorder="1" applyAlignment="1">
      <alignment vertical="center"/>
    </xf>
    <xf numFmtId="166" fontId="17" fillId="4" borderId="27" xfId="0" applyNumberFormat="1" applyFont="1" applyFill="1" applyBorder="1" applyAlignment="1">
      <alignment vertical="center"/>
    </xf>
    <xf numFmtId="0" fontId="17" fillId="0" borderId="4" xfId="0" applyFont="1" applyBorder="1" applyAlignment="1">
      <alignment horizontal="left" vertical="center" wrapText="1" indent="1"/>
    </xf>
    <xf numFmtId="0" fontId="18" fillId="0" borderId="3" xfId="0" applyFont="1" applyBorder="1" applyAlignment="1">
      <alignment horizontal="center" wrapText="1"/>
    </xf>
    <xf numFmtId="166" fontId="17" fillId="0" borderId="5" xfId="0" applyNumberFormat="1" applyFont="1" applyBorder="1" applyProtection="1">
      <protection locked="0"/>
    </xf>
    <xf numFmtId="166" fontId="17" fillId="0" borderId="5" xfId="0" applyNumberFormat="1" applyFont="1" applyBorder="1" applyAlignment="1" applyProtection="1">
      <alignment horizontal="right"/>
      <protection locked="0"/>
    </xf>
    <xf numFmtId="166" fontId="17" fillId="0" borderId="19" xfId="0" applyNumberFormat="1" applyFont="1" applyBorder="1" applyAlignment="1" applyProtection="1">
      <alignment horizontal="right"/>
      <protection locked="0"/>
    </xf>
    <xf numFmtId="0" fontId="17" fillId="0" borderId="25" xfId="0" applyFont="1" applyBorder="1"/>
    <xf numFmtId="0" fontId="22" fillId="0" borderId="10" xfId="0" applyFont="1" applyBorder="1" applyAlignment="1">
      <alignment horizontal="center"/>
    </xf>
    <xf numFmtId="166" fontId="17" fillId="0" borderId="0" xfId="0" applyNumberFormat="1" applyFont="1" applyProtection="1">
      <protection locked="0"/>
    </xf>
    <xf numFmtId="166" fontId="17" fillId="0" borderId="26" xfId="0" applyNumberFormat="1" applyFont="1" applyBorder="1" applyProtection="1">
      <protection locked="0"/>
    </xf>
    <xf numFmtId="0" fontId="19" fillId="0" borderId="10" xfId="0" applyFont="1" applyBorder="1" applyAlignment="1">
      <alignment horizontal="center"/>
    </xf>
    <xf numFmtId="164" fontId="17" fillId="0" borderId="0" xfId="0" applyNumberFormat="1" applyFont="1"/>
    <xf numFmtId="164" fontId="17" fillId="0" borderId="0" xfId="0" applyNumberFormat="1" applyFont="1" applyAlignment="1">
      <alignment horizontal="right"/>
    </xf>
    <xf numFmtId="164" fontId="17" fillId="0" borderId="26" xfId="0" applyNumberFormat="1" applyFont="1" applyBorder="1" applyAlignment="1">
      <alignment horizontal="right"/>
    </xf>
    <xf numFmtId="166" fontId="17" fillId="0" borderId="0" xfId="0" applyNumberFormat="1" applyFont="1" applyAlignment="1" applyProtection="1">
      <alignment horizontal="right"/>
      <protection locked="0"/>
    </xf>
    <xf numFmtId="166" fontId="17" fillId="0" borderId="26" xfId="0" applyNumberFormat="1" applyFont="1" applyBorder="1" applyAlignment="1" applyProtection="1">
      <alignment horizontal="right"/>
      <protection locked="0"/>
    </xf>
    <xf numFmtId="165" fontId="17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0" fontId="17" fillId="0" borderId="26" xfId="0" applyFont="1" applyBorder="1" applyAlignment="1">
      <alignment horizontal="right"/>
    </xf>
    <xf numFmtId="0" fontId="19" fillId="0" borderId="28" xfId="0" applyFont="1" applyBorder="1"/>
    <xf numFmtId="0" fontId="22" fillId="0" borderId="13" xfId="0" applyFont="1" applyBorder="1" applyAlignment="1">
      <alignment horizontal="center"/>
    </xf>
    <xf numFmtId="0" fontId="24" fillId="0" borderId="0" xfId="0" applyFont="1"/>
    <xf numFmtId="165" fontId="19" fillId="0" borderId="0" xfId="0" applyNumberFormat="1" applyFont="1"/>
    <xf numFmtId="0" fontId="17" fillId="0" borderId="0" xfId="0" applyFont="1" applyAlignment="1">
      <alignment horizontal="left" vertical="center"/>
    </xf>
    <xf numFmtId="0" fontId="30" fillId="0" borderId="0" xfId="0" applyFont="1"/>
    <xf numFmtId="0" fontId="29" fillId="2" borderId="0" xfId="1" applyFont="1" applyFill="1" applyAlignment="1">
      <alignment horizontal="left"/>
    </xf>
    <xf numFmtId="0" fontId="4" fillId="0" borderId="29" xfId="0" applyFont="1" applyBorder="1"/>
    <xf numFmtId="164" fontId="8" fillId="0" borderId="21" xfId="0" applyNumberFormat="1" applyFont="1" applyBorder="1"/>
    <xf numFmtId="164" fontId="4" fillId="0" borderId="22" xfId="0" applyNumberFormat="1" applyFont="1" applyBorder="1"/>
    <xf numFmtId="164" fontId="4" fillId="0" borderId="24" xfId="0" applyNumberFormat="1" applyFont="1" applyBorder="1"/>
    <xf numFmtId="0" fontId="4" fillId="0" borderId="0" xfId="0" applyFont="1" applyAlignment="1">
      <alignment horizontal="right"/>
    </xf>
    <xf numFmtId="0" fontId="31" fillId="0" borderId="0" xfId="1" applyFont="1"/>
    <xf numFmtId="0" fontId="10" fillId="0" borderId="1" xfId="0" applyFont="1" applyBorder="1" applyAlignment="1">
      <alignment horizontal="center"/>
    </xf>
    <xf numFmtId="0" fontId="29" fillId="0" borderId="0" xfId="1" applyFont="1" applyFill="1" applyAlignment="1">
      <alignment horizontal="left"/>
    </xf>
    <xf numFmtId="0" fontId="10" fillId="0" borderId="0" xfId="0" applyFont="1" applyFill="1"/>
    <xf numFmtId="0" fontId="30" fillId="0" borderId="0" xfId="0" applyFont="1" applyFill="1"/>
    <xf numFmtId="0" fontId="4" fillId="0" borderId="0" xfId="0" applyFont="1" applyFill="1"/>
    <xf numFmtId="0" fontId="2" fillId="0" borderId="0" xfId="1" applyFont="1" applyFill="1"/>
    <xf numFmtId="0" fontId="1" fillId="0" borderId="0" xfId="0" applyFont="1"/>
    <xf numFmtId="0" fontId="32" fillId="0" borderId="20" xfId="0" applyFont="1" applyBorder="1"/>
    <xf numFmtId="0" fontId="10" fillId="0" borderId="7" xfId="0" applyFont="1" applyBorder="1" applyAlignment="1">
      <alignment horizontal="left" indent="3"/>
    </xf>
    <xf numFmtId="165" fontId="1" fillId="0" borderId="0" xfId="0" applyNumberFormat="1" applyFont="1"/>
    <xf numFmtId="0" fontId="15" fillId="0" borderId="2" xfId="0" applyFont="1" applyBorder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6" fontId="17" fillId="0" borderId="0" xfId="0" applyNumberFormat="1" applyFont="1" applyFill="1" applyProtection="1">
      <protection locked="0"/>
    </xf>
    <xf numFmtId="166" fontId="20" fillId="4" borderId="25" xfId="0" applyNumberFormat="1" applyFont="1" applyFill="1" applyBorder="1"/>
    <xf numFmtId="166" fontId="17" fillId="0" borderId="26" xfId="0" applyNumberFormat="1" applyFont="1" applyFill="1" applyBorder="1" applyProtection="1">
      <protection locked="0"/>
    </xf>
    <xf numFmtId="166" fontId="17" fillId="0" borderId="0" xfId="0" applyNumberFormat="1" applyFont="1"/>
    <xf numFmtId="166" fontId="17" fillId="0" borderId="28" xfId="0" applyNumberFormat="1" applyFont="1" applyFill="1" applyBorder="1" applyProtection="1">
      <protection locked="0"/>
    </xf>
    <xf numFmtId="166" fontId="17" fillId="0" borderId="1" xfId="0" applyNumberFormat="1" applyFont="1" applyFill="1" applyBorder="1" applyProtection="1">
      <protection locked="0"/>
    </xf>
    <xf numFmtId="0" fontId="17" fillId="0" borderId="0" xfId="0" applyFont="1" applyFill="1"/>
    <xf numFmtId="0" fontId="17" fillId="0" borderId="0" xfId="0" applyFont="1" applyAlignment="1">
      <alignment horizontal="left"/>
    </xf>
    <xf numFmtId="166" fontId="34" fillId="0" borderId="26" xfId="0" applyNumberFormat="1" applyFont="1" applyFill="1" applyBorder="1" applyProtection="1">
      <protection locked="0"/>
    </xf>
    <xf numFmtId="166" fontId="34" fillId="0" borderId="27" xfId="0" applyNumberFormat="1" applyFont="1" applyFill="1" applyBorder="1" applyProtection="1">
      <protection locked="0"/>
    </xf>
    <xf numFmtId="166" fontId="33" fillId="0" borderId="0" xfId="0" applyNumberFormat="1" applyFont="1" applyFill="1" applyProtection="1">
      <protection locked="0"/>
    </xf>
    <xf numFmtId="166" fontId="35" fillId="4" borderId="25" xfId="0" applyNumberFormat="1" applyFont="1" applyFill="1" applyBorder="1"/>
    <xf numFmtId="0" fontId="15" fillId="0" borderId="0" xfId="0" applyFont="1" applyFill="1" applyBorder="1"/>
    <xf numFmtId="0" fontId="15" fillId="0" borderId="0" xfId="0" applyFont="1" applyFill="1" applyBorder="1" applyAlignment="1"/>
    <xf numFmtId="0" fontId="15" fillId="0" borderId="0" xfId="0" applyFont="1" applyBorder="1"/>
    <xf numFmtId="0" fontId="16" fillId="0" borderId="0" xfId="0" applyFont="1" applyBorder="1"/>
    <xf numFmtId="164" fontId="15" fillId="0" borderId="0" xfId="0" applyNumberFormat="1" applyFont="1" applyFill="1" applyBorder="1"/>
    <xf numFmtId="164" fontId="15" fillId="0" borderId="0" xfId="0" applyNumberFormat="1" applyFont="1" applyBorder="1"/>
    <xf numFmtId="165" fontId="12" fillId="0" borderId="0" xfId="0" applyNumberFormat="1" applyFont="1"/>
    <xf numFmtId="165" fontId="13" fillId="0" borderId="0" xfId="0" applyNumberFormat="1" applyFont="1"/>
    <xf numFmtId="0" fontId="36" fillId="0" borderId="0" xfId="0" applyFont="1"/>
    <xf numFmtId="164" fontId="12" fillId="0" borderId="0" xfId="0" applyNumberFormat="1" applyFont="1"/>
    <xf numFmtId="164" fontId="37" fillId="0" borderId="0" xfId="0" applyNumberFormat="1" applyFont="1"/>
    <xf numFmtId="164" fontId="38" fillId="0" borderId="0" xfId="0" applyNumberFormat="1" applyFont="1" applyBorder="1"/>
    <xf numFmtId="164" fontId="22" fillId="0" borderId="0" xfId="0" applyNumberFormat="1" applyFont="1" applyFill="1" applyBorder="1"/>
    <xf numFmtId="164" fontId="39" fillId="0" borderId="0" xfId="0" applyNumberFormat="1" applyFont="1" applyFill="1" applyBorder="1"/>
    <xf numFmtId="164" fontId="22" fillId="0" borderId="0" xfId="0" applyNumberFormat="1" applyFont="1" applyFill="1" applyBorder="1" applyAlignment="1"/>
    <xf numFmtId="164" fontId="22" fillId="0" borderId="0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11" fillId="0" borderId="0" xfId="0" applyFont="1" applyFill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1" xfId="0" applyFont="1" applyFill="1" applyBorder="1" applyAlignment="1">
      <alignment horizontal="right"/>
    </xf>
    <xf numFmtId="0" fontId="18" fillId="0" borderId="3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6" fillId="0" borderId="0" xfId="0" applyFont="1" applyFill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Обычный 2 2" xfId="2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Структура перевозок пассажиров по видам транспорта по Российской Федерации, %</a:t>
            </a:r>
          </a:p>
        </c:rich>
      </c:tx>
      <c:layout>
        <c:manualLayout>
          <c:xMode val="edge"/>
          <c:yMode val="edge"/>
          <c:x val="0.142126"/>
          <c:y val="1.7638999999999998E-2"/>
        </c:manualLayout>
      </c:layout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'2'!$A$9</c:f>
              <c:strCache>
                <c:ptCount val="1"/>
                <c:pt idx="0">
                  <c:v>железнодорожный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'2'!$B$9:$Z$9</c:f>
              <c:numCache>
                <c:formatCode>0.0</c:formatCode>
                <c:ptCount val="25"/>
                <c:pt idx="0">
                  <c:v>3.2</c:v>
                </c:pt>
                <c:pt idx="1">
                  <c:v>3</c:v>
                </c:pt>
                <c:pt idx="2">
                  <c:v>3</c:v>
                </c:pt>
                <c:pt idx="3">
                  <c:v>3.3</c:v>
                </c:pt>
                <c:pt idx="4">
                  <c:v>3.4</c:v>
                </c:pt>
                <c:pt idx="5">
                  <c:v>4.4000000000000004</c:v>
                </c:pt>
                <c:pt idx="6">
                  <c:v>5</c:v>
                </c:pt>
                <c:pt idx="7">
                  <c:v>5.0999999999999996</c:v>
                </c:pt>
                <c:pt idx="8">
                  <c:v>5.2</c:v>
                </c:pt>
                <c:pt idx="9">
                  <c:v>5</c:v>
                </c:pt>
                <c:pt idx="10">
                  <c:v>4.3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5.5</c:v>
                </c:pt>
                <c:pt idx="15">
                  <c:v>5.4</c:v>
                </c:pt>
                <c:pt idx="16">
                  <c:v>5.6</c:v>
                </c:pt>
                <c:pt idx="17">
                  <c:v>6.1</c:v>
                </c:pt>
                <c:pt idx="18">
                  <c:v>6.4</c:v>
                </c:pt>
                <c:pt idx="19">
                  <c:v>6.7</c:v>
                </c:pt>
                <c:pt idx="20">
                  <c:v>7</c:v>
                </c:pt>
                <c:pt idx="21">
                  <c:v>7.7</c:v>
                </c:pt>
                <c:pt idx="22">
                  <c:v>7.9</c:v>
                </c:pt>
                <c:pt idx="23">
                  <c:v>8</c:v>
                </c:pt>
                <c:pt idx="24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0-4172-998F-6E4B5C122717}"/>
            </c:ext>
          </c:extLst>
        </c:ser>
        <c:ser>
          <c:idx val="1"/>
          <c:order val="1"/>
          <c:tx>
            <c:strRef>
              <c:f>'2'!$A$10</c:f>
              <c:strCache>
                <c:ptCount val="1"/>
                <c:pt idx="0">
                  <c:v>воздушный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'2'!$B$10:$Z$10</c:f>
              <c:numCache>
                <c:formatCode>0.0</c:formatCode>
                <c:ptCount val="2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0.3</c:v>
                </c:pt>
                <c:pt idx="11">
                  <c:v>0.3</c:v>
                </c:pt>
                <c:pt idx="12">
                  <c:v>0.4</c:v>
                </c:pt>
                <c:pt idx="13">
                  <c:v>0.4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0.6</c:v>
                </c:pt>
                <c:pt idx="18">
                  <c:v>0.7</c:v>
                </c:pt>
                <c:pt idx="19" formatCode="General">
                  <c:v>0.7</c:v>
                </c:pt>
                <c:pt idx="20" formatCode="General">
                  <c:v>0.6</c:v>
                </c:pt>
                <c:pt idx="21" formatCode="General">
                  <c:v>0.8</c:v>
                </c:pt>
                <c:pt idx="22" formatCode="General">
                  <c:v>0.7</c:v>
                </c:pt>
                <c:pt idx="23" formatCode="General">
                  <c:v>0.7</c:v>
                </c:pt>
                <c:pt idx="24" formatCode="General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40-4172-998F-6E4B5C122717}"/>
            </c:ext>
          </c:extLst>
        </c:ser>
        <c:ser>
          <c:idx val="2"/>
          <c:order val="2"/>
          <c:tx>
            <c:strRef>
              <c:f>'2'!$A$11</c:f>
              <c:strCache>
                <c:ptCount val="1"/>
                <c:pt idx="0">
                  <c:v>автомобильный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'2'!$B$11:$Z$11</c:f>
              <c:numCache>
                <c:formatCode>0.0</c:formatCode>
                <c:ptCount val="25"/>
                <c:pt idx="0">
                  <c:v>51.2</c:v>
                </c:pt>
                <c:pt idx="1">
                  <c:v>51.1</c:v>
                </c:pt>
                <c:pt idx="2">
                  <c:v>51.4</c:v>
                </c:pt>
                <c:pt idx="3">
                  <c:v>52.1</c:v>
                </c:pt>
                <c:pt idx="4">
                  <c:v>53.7</c:v>
                </c:pt>
                <c:pt idx="5">
                  <c:v>54.4</c:v>
                </c:pt>
                <c:pt idx="6">
                  <c:v>55.4</c:v>
                </c:pt>
                <c:pt idx="7">
                  <c:v>58.4</c:v>
                </c:pt>
                <c:pt idx="8">
                  <c:v>59</c:v>
                </c:pt>
                <c:pt idx="9">
                  <c:v>60</c:v>
                </c:pt>
                <c:pt idx="10">
                  <c:v>60.9</c:v>
                </c:pt>
                <c:pt idx="11">
                  <c:v>60.8</c:v>
                </c:pt>
                <c:pt idx="12">
                  <c:v>59.8</c:v>
                </c:pt>
                <c:pt idx="13">
                  <c:v>59.1</c:v>
                </c:pt>
                <c:pt idx="14">
                  <c:v>59.1</c:v>
                </c:pt>
                <c:pt idx="15">
                  <c:v>60.3</c:v>
                </c:pt>
                <c:pt idx="16">
                  <c:v>60.6</c:v>
                </c:pt>
                <c:pt idx="17">
                  <c:v>60.8</c:v>
                </c:pt>
                <c:pt idx="18">
                  <c:v>60.3</c:v>
                </c:pt>
                <c:pt idx="19" formatCode="General">
                  <c:v>59.7</c:v>
                </c:pt>
                <c:pt idx="20" formatCode="General">
                  <c:v>61.6</c:v>
                </c:pt>
                <c:pt idx="21" formatCode="General">
                  <c:v>58.7</c:v>
                </c:pt>
                <c:pt idx="22" formatCode="General">
                  <c:v>58.6</c:v>
                </c:pt>
                <c:pt idx="23" formatCode="General">
                  <c:v>59.1</c:v>
                </c:pt>
                <c:pt idx="24" formatCode="General">
                  <c:v>58.6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40-4172-998F-6E4B5C122717}"/>
            </c:ext>
          </c:extLst>
        </c:ser>
        <c:ser>
          <c:idx val="3"/>
          <c:order val="3"/>
          <c:tx>
            <c:strRef>
              <c:f>'2'!$A$12</c:f>
              <c:strCache>
                <c:ptCount val="1"/>
                <c:pt idx="0">
                  <c:v>водный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'2'!$B$12:$Z$12</c:f>
              <c:numCache>
                <c:formatCode>0.0</c:formatCode>
                <c:ptCount val="2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0.15000000000000002</c:v>
                </c:pt>
                <c:pt idx="16">
                  <c:v>0.17</c:v>
                </c:pt>
                <c:pt idx="17">
                  <c:v>0.1</c:v>
                </c:pt>
                <c:pt idx="18">
                  <c:v>0.1</c:v>
                </c:pt>
                <c:pt idx="19" formatCode="General">
                  <c:v>0.1</c:v>
                </c:pt>
                <c:pt idx="20" formatCode="General">
                  <c:v>0.1</c:v>
                </c:pt>
                <c:pt idx="21" formatCode="General">
                  <c:v>0.1</c:v>
                </c:pt>
                <c:pt idx="22" formatCode="General">
                  <c:v>0.1</c:v>
                </c:pt>
                <c:pt idx="23" formatCode="General">
                  <c:v>0.1</c:v>
                </c:pt>
                <c:pt idx="24" formatCode="General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40-4172-998F-6E4B5C122717}"/>
            </c:ext>
          </c:extLst>
        </c:ser>
        <c:ser>
          <c:idx val="4"/>
          <c:order val="4"/>
          <c:tx>
            <c:strRef>
              <c:f>'2'!$A$13</c:f>
              <c:strCache>
                <c:ptCount val="1"/>
                <c:pt idx="0">
                  <c:v>городской электрический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'2'!$B$13:$Z$13</c:f>
              <c:numCache>
                <c:formatCode>0.0</c:formatCode>
                <c:ptCount val="25"/>
                <c:pt idx="0">
                  <c:v>45.4</c:v>
                </c:pt>
                <c:pt idx="1">
                  <c:v>45.699999999999996</c:v>
                </c:pt>
                <c:pt idx="2">
                  <c:v>45.4</c:v>
                </c:pt>
                <c:pt idx="3">
                  <c:v>44.4</c:v>
                </c:pt>
                <c:pt idx="4">
                  <c:v>42.7</c:v>
                </c:pt>
                <c:pt idx="5">
                  <c:v>41</c:v>
                </c:pt>
                <c:pt idx="6">
                  <c:v>39.4</c:v>
                </c:pt>
                <c:pt idx="7">
                  <c:v>36.200000000000003</c:v>
                </c:pt>
                <c:pt idx="8">
                  <c:v>35.5</c:v>
                </c:pt>
                <c:pt idx="9">
                  <c:v>34.700000000000003</c:v>
                </c:pt>
                <c:pt idx="10">
                  <c:v>34.4</c:v>
                </c:pt>
                <c:pt idx="11">
                  <c:v>34.299999999999997</c:v>
                </c:pt>
                <c:pt idx="12">
                  <c:v>34.699999999999996</c:v>
                </c:pt>
                <c:pt idx="13">
                  <c:v>34.9</c:v>
                </c:pt>
                <c:pt idx="14">
                  <c:v>34.799999999999997</c:v>
                </c:pt>
                <c:pt idx="15">
                  <c:v>33.599999999999994</c:v>
                </c:pt>
                <c:pt idx="16">
                  <c:v>33.1</c:v>
                </c:pt>
                <c:pt idx="17">
                  <c:v>32.400000000000006</c:v>
                </c:pt>
                <c:pt idx="18">
                  <c:v>32.5</c:v>
                </c:pt>
                <c:pt idx="19" formatCode="General">
                  <c:v>32.799999999999997</c:v>
                </c:pt>
                <c:pt idx="20" formatCode="General">
                  <c:v>30.7</c:v>
                </c:pt>
                <c:pt idx="21" formatCode="General">
                  <c:v>32.700000000000003</c:v>
                </c:pt>
                <c:pt idx="22" formatCode="General">
                  <c:v>32.700000000000003</c:v>
                </c:pt>
                <c:pt idx="23">
                  <c:v>32.1</c:v>
                </c:pt>
                <c:pt idx="24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40-4172-998F-6E4B5C122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5049728"/>
        <c:axId val="139041536"/>
      </c:barChart>
      <c:catAx>
        <c:axId val="135049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39041536"/>
        <c:crosses val="autoZero"/>
        <c:auto val="1"/>
        <c:lblAlgn val="ctr"/>
        <c:lblOffset val="100"/>
        <c:noMultiLvlLbl val="0"/>
      </c:catAx>
      <c:valAx>
        <c:axId val="13904153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3504972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1003651582755054E-2"/>
          <c:y val="0.93983781077431716"/>
          <c:w val="0.96667025046881572"/>
          <c:h val="6.0162189225682887E-2"/>
        </c:manualLayout>
      </c:layout>
      <c:overlay val="0"/>
      <c:txPr>
        <a:bodyPr/>
        <a:lstStyle/>
        <a:p>
          <a:pPr>
            <a:defRPr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370981</xdr:colOff>
      <xdr:row>3</xdr:row>
      <xdr:rowOff>160422</xdr:rowOff>
    </xdr:from>
    <xdr:ext cx="259430" cy="195565"/>
    <xdr:sp macro="" textlink="">
      <xdr:nvSpPr>
        <xdr:cNvPr id="3" name="TextBox 2"/>
        <xdr:cNvSpPr txBox="1"/>
      </xdr:nvSpPr>
      <xdr:spPr bwMode="auto">
        <a:xfrm>
          <a:off x="16425898" y="594339"/>
          <a:ext cx="259430" cy="195566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24</xdr:col>
      <xdr:colOff>370981</xdr:colOff>
      <xdr:row>3</xdr:row>
      <xdr:rowOff>160422</xdr:rowOff>
    </xdr:from>
    <xdr:ext cx="259430" cy="195565"/>
    <xdr:sp macro="" textlink="">
      <xdr:nvSpPr>
        <xdr:cNvPr id="4" name="TextBox 3"/>
        <xdr:cNvSpPr txBox="1"/>
      </xdr:nvSpPr>
      <xdr:spPr bwMode="auto">
        <a:xfrm>
          <a:off x="16349169" y="589047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25</xdr:col>
      <xdr:colOff>370981</xdr:colOff>
      <xdr:row>3</xdr:row>
      <xdr:rowOff>160422</xdr:rowOff>
    </xdr:from>
    <xdr:ext cx="259430" cy="195565"/>
    <xdr:sp macro="" textlink="">
      <xdr:nvSpPr>
        <xdr:cNvPr id="5" name="TextBox 4"/>
        <xdr:cNvSpPr txBox="1"/>
      </xdr:nvSpPr>
      <xdr:spPr bwMode="auto">
        <a:xfrm>
          <a:off x="16956387" y="589047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23</xdr:col>
      <xdr:colOff>380997</xdr:colOff>
      <xdr:row>3</xdr:row>
      <xdr:rowOff>179917</xdr:rowOff>
    </xdr:from>
    <xdr:ext cx="259430" cy="195565"/>
    <xdr:sp macro="" textlink="">
      <xdr:nvSpPr>
        <xdr:cNvPr id="6" name="TextBox 5"/>
        <xdr:cNvSpPr txBox="1"/>
      </xdr:nvSpPr>
      <xdr:spPr bwMode="auto">
        <a:xfrm>
          <a:off x="16435914" y="804334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1</xdr:row>
      <xdr:rowOff>0</xdr:rowOff>
    </xdr:from>
    <xdr:to>
      <xdr:col>23</xdr:col>
      <xdr:colOff>137583</xdr:colOff>
      <xdr:row>33</xdr:row>
      <xdr:rowOff>137583</xdr:rowOff>
    </xdr:to>
    <xdr:graphicFrame macro="">
      <xdr:nvGraphicFramePr>
        <xdr:cNvPr id="2179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21</xdr:col>
      <xdr:colOff>525998</xdr:colOff>
      <xdr:row>30</xdr:row>
      <xdr:rowOff>91013</xdr:rowOff>
    </xdr:from>
    <xdr:ext cx="259430" cy="195565"/>
    <xdr:sp macro="" textlink="">
      <xdr:nvSpPr>
        <xdr:cNvPr id="3" name="TextBox 2"/>
        <xdr:cNvSpPr txBox="1"/>
      </xdr:nvSpPr>
      <xdr:spPr bwMode="auto">
        <a:xfrm>
          <a:off x="13416498" y="5806013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21</xdr:col>
      <xdr:colOff>22232</xdr:colOff>
      <xdr:row>30</xdr:row>
      <xdr:rowOff>69847</xdr:rowOff>
    </xdr:from>
    <xdr:ext cx="259430" cy="195565"/>
    <xdr:sp macro="" textlink="">
      <xdr:nvSpPr>
        <xdr:cNvPr id="4" name="TextBox 3"/>
        <xdr:cNvSpPr txBox="1"/>
      </xdr:nvSpPr>
      <xdr:spPr bwMode="auto">
        <a:xfrm>
          <a:off x="12912732" y="5784847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22</xdr:col>
      <xdr:colOff>402168</xdr:colOff>
      <xdr:row>30</xdr:row>
      <xdr:rowOff>95250</xdr:rowOff>
    </xdr:from>
    <xdr:ext cx="259430" cy="195565"/>
    <xdr:sp macro="" textlink="">
      <xdr:nvSpPr>
        <xdr:cNvPr id="5" name="TextBox 4"/>
        <xdr:cNvSpPr txBox="1"/>
      </xdr:nvSpPr>
      <xdr:spPr bwMode="auto">
        <a:xfrm>
          <a:off x="13906501" y="5810250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="90" zoomScaleNormal="90" workbookViewId="0">
      <selection activeCell="B7" sqref="B7"/>
    </sheetView>
  </sheetViews>
  <sheetFormatPr defaultRowHeight="15.75" x14ac:dyDescent="0.25"/>
  <cols>
    <col min="1" max="11" width="9.140625" style="1"/>
    <col min="12" max="12" width="19" style="1" customWidth="1"/>
    <col min="13" max="16384" width="9.140625" style="1"/>
  </cols>
  <sheetData>
    <row r="1" spans="1:12" x14ac:dyDescent="0.25">
      <c r="A1" s="161" t="s">
        <v>0</v>
      </c>
      <c r="B1" s="161"/>
      <c r="C1" s="161"/>
    </row>
    <row r="3" spans="1:12" s="3" customFormat="1" ht="18.75" x14ac:dyDescent="0.3">
      <c r="A3" s="117" t="s">
        <v>1</v>
      </c>
      <c r="B3" s="118" t="s">
        <v>63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s="3" customFormat="1" ht="18.75" x14ac:dyDescent="0.3">
      <c r="A4" s="117" t="s">
        <v>2</v>
      </c>
      <c r="B4" s="118" t="s">
        <v>64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s="3" customFormat="1" ht="18.75" x14ac:dyDescent="0.3">
      <c r="A5" s="117" t="s">
        <v>3</v>
      </c>
      <c r="B5" s="118" t="s">
        <v>4</v>
      </c>
      <c r="C5" s="5"/>
      <c r="D5" s="5"/>
      <c r="E5" s="5"/>
      <c r="F5" s="5"/>
      <c r="G5" s="6"/>
      <c r="H5" s="6"/>
      <c r="I5" s="6"/>
      <c r="J5" s="6"/>
      <c r="K5" s="6"/>
    </row>
    <row r="6" spans="1:12" s="3" customFormat="1" ht="18.75" x14ac:dyDescent="0.3">
      <c r="A6" s="117" t="s">
        <v>5</v>
      </c>
      <c r="B6" s="118" t="s">
        <v>67</v>
      </c>
      <c r="C6" s="5"/>
      <c r="D6" s="5"/>
      <c r="E6" s="5"/>
      <c r="F6" s="5"/>
      <c r="G6" s="6"/>
      <c r="H6" s="6"/>
      <c r="I6" s="6"/>
      <c r="J6" s="6"/>
      <c r="K6" s="6"/>
    </row>
    <row r="7" spans="1:12" ht="18.75" x14ac:dyDescent="0.3">
      <c r="A7" s="4"/>
      <c r="B7" s="6"/>
      <c r="C7" s="6"/>
      <c r="D7" s="6"/>
      <c r="E7" s="6"/>
      <c r="F7" s="6"/>
      <c r="G7" s="6"/>
      <c r="H7" s="6"/>
    </row>
    <row r="8" spans="1:12" ht="18.75" x14ac:dyDescent="0.3">
      <c r="A8" s="4"/>
      <c r="B8" s="6"/>
      <c r="C8" s="6"/>
      <c r="D8" s="6"/>
      <c r="E8" s="6"/>
      <c r="F8" s="6"/>
      <c r="G8" s="6"/>
      <c r="H8" s="6"/>
    </row>
    <row r="10" spans="1:12" x14ac:dyDescent="0.25">
      <c r="B10" s="7" t="s">
        <v>6</v>
      </c>
    </row>
    <row r="11" spans="1:12" x14ac:dyDescent="0.25">
      <c r="B11" s="2" t="s">
        <v>7</v>
      </c>
    </row>
    <row r="12" spans="1:12" x14ac:dyDescent="0.25">
      <c r="B12" s="2" t="s">
        <v>8</v>
      </c>
    </row>
    <row r="13" spans="1:12" x14ac:dyDescent="0.25">
      <c r="B13" s="2"/>
    </row>
    <row r="14" spans="1:12" x14ac:dyDescent="0.25">
      <c r="B14" s="8"/>
      <c r="C14" s="8"/>
      <c r="D14" s="8"/>
    </row>
    <row r="15" spans="1:12" x14ac:dyDescent="0.25">
      <c r="B15" s="9"/>
    </row>
  </sheetData>
  <mergeCells count="1">
    <mergeCell ref="A1:C1"/>
  </mergeCells>
  <hyperlinks>
    <hyperlink ref="B3:K3" location="'1'!A1" display="Перевозки пассажиров по видам транспорта общего пользования по Российской Федерации годы (с 2000 по 2023 год)"/>
    <hyperlink ref="B3:L3" location="'1'!A1" display="Перевозки пассажиров по видам транспорта общего пользования по Российской Федерации годы (с 2000 по 2023 год)"/>
    <hyperlink ref="B4:L4" location="'2'!A1" display="Структура перевозок пассажиров по видам транспорта общего пользования по Российской Федерации годы (с 2000 по 2023 год)"/>
    <hyperlink ref="B5:F5" location="'3'!A1" display="Диаграмма"/>
    <hyperlink ref="B6" location="'4'!A1" display="Перевозки пассажиров по видам транспорта общего пользования по Российской Федерации по месяцам (оперативная информация, с 2022 года)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0"/>
  <sheetViews>
    <sheetView zoomScale="80" zoomScaleNormal="80" workbookViewId="0">
      <pane xSplit="1" ySplit="7" topLeftCell="B8" activePane="bottomRight" state="frozen"/>
      <selection activeCell="Y4" sqref="Y4"/>
      <selection pane="topRight"/>
      <selection pane="bottomLeft"/>
      <selection pane="bottomRight" activeCell="Z7" sqref="Z7"/>
    </sheetView>
  </sheetViews>
  <sheetFormatPr defaultRowHeight="15.75" x14ac:dyDescent="0.25"/>
  <cols>
    <col min="1" max="1" width="30.7109375" style="10" customWidth="1"/>
    <col min="2" max="15" width="9.7109375" style="10" customWidth="1"/>
    <col min="16" max="18" width="9.7109375" customWidth="1"/>
    <col min="19" max="22" width="9.7109375" style="1" customWidth="1"/>
    <col min="23" max="26" width="9.7109375" customWidth="1"/>
  </cols>
  <sheetData>
    <row r="1" spans="1:33" s="111" customFormat="1" x14ac:dyDescent="0.25">
      <c r="A1" s="120" t="s">
        <v>62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2"/>
      <c r="Q1" s="122"/>
      <c r="R1" s="122"/>
      <c r="S1" s="123"/>
      <c r="T1" s="123"/>
      <c r="U1" s="123"/>
      <c r="V1" s="123"/>
      <c r="W1" s="122"/>
      <c r="X1" s="122"/>
      <c r="Y1" s="122"/>
    </row>
    <row r="2" spans="1:33" ht="20.100000000000001" customHeight="1" x14ac:dyDescent="0.3">
      <c r="B2" s="162" t="s">
        <v>9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 spans="1:33" ht="15" customHeight="1" x14ac:dyDescent="0.25">
      <c r="B3" s="163" t="s">
        <v>10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</row>
    <row r="4" spans="1:33" s="11" customFormat="1" ht="15" customHeight="1" x14ac:dyDescent="0.25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</row>
    <row r="5" spans="1:33" s="11" customFormat="1" ht="20.100000000000001" customHeight="1" x14ac:dyDescent="0.25">
      <c r="A5" s="12"/>
      <c r="B5" s="13">
        <v>2000</v>
      </c>
      <c r="C5" s="13">
        <v>2001</v>
      </c>
      <c r="D5" s="13">
        <v>2002</v>
      </c>
      <c r="E5" s="13">
        <v>2003</v>
      </c>
      <c r="F5" s="13">
        <v>2004</v>
      </c>
      <c r="G5" s="13">
        <v>2005</v>
      </c>
      <c r="H5" s="13">
        <v>2006</v>
      </c>
      <c r="I5" s="13">
        <v>2007</v>
      </c>
      <c r="J5" s="13">
        <v>2008</v>
      </c>
      <c r="K5" s="13">
        <v>2009</v>
      </c>
      <c r="L5" s="13">
        <v>2010</v>
      </c>
      <c r="M5" s="13">
        <v>2011</v>
      </c>
      <c r="N5" s="13">
        <v>2012</v>
      </c>
      <c r="O5" s="13">
        <v>2013</v>
      </c>
      <c r="P5" s="13">
        <v>2014</v>
      </c>
      <c r="Q5" s="14">
        <v>2015</v>
      </c>
      <c r="R5" s="14">
        <v>2016</v>
      </c>
      <c r="S5" s="15">
        <v>2017</v>
      </c>
      <c r="T5" s="15">
        <v>2018</v>
      </c>
      <c r="U5" s="15">
        <v>2019</v>
      </c>
      <c r="V5" s="15">
        <v>2020</v>
      </c>
      <c r="W5" s="15">
        <v>2021</v>
      </c>
      <c r="X5" s="15" t="s">
        <v>11</v>
      </c>
      <c r="Y5" s="15" t="s">
        <v>12</v>
      </c>
      <c r="Z5" s="15" t="s">
        <v>61</v>
      </c>
    </row>
    <row r="6" spans="1:33" ht="15" customHeight="1" x14ac:dyDescent="0.25">
      <c r="A6" s="16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19"/>
      <c r="S6" s="20"/>
      <c r="T6" s="20"/>
      <c r="U6" s="20"/>
      <c r="V6" s="20"/>
      <c r="W6" s="20"/>
      <c r="X6" s="20"/>
      <c r="Y6" s="20"/>
      <c r="Z6" s="113"/>
    </row>
    <row r="7" spans="1:33" ht="20.100000000000001" customHeight="1" x14ac:dyDescent="0.25">
      <c r="A7" s="21" t="s">
        <v>13</v>
      </c>
      <c r="B7" s="22">
        <v>44838.5</v>
      </c>
      <c r="C7" s="23">
        <v>43987.8</v>
      </c>
      <c r="D7" s="23">
        <v>42611.7</v>
      </c>
      <c r="E7" s="23">
        <v>40088.800000000003</v>
      </c>
      <c r="F7" s="23">
        <v>39109.199999999997</v>
      </c>
      <c r="G7" s="23">
        <v>30122</v>
      </c>
      <c r="H7" s="23">
        <v>26640.3</v>
      </c>
      <c r="I7" s="23">
        <v>25307</v>
      </c>
      <c r="J7" s="23">
        <v>24950.2</v>
      </c>
      <c r="K7" s="23">
        <v>22844</v>
      </c>
      <c r="L7" s="23">
        <v>22034.5</v>
      </c>
      <c r="M7" s="23">
        <v>21886.6</v>
      </c>
      <c r="N7" s="23">
        <v>21340.799999999999</v>
      </c>
      <c r="O7" s="23">
        <v>19620.8</v>
      </c>
      <c r="P7" s="24">
        <v>19536.3</v>
      </c>
      <c r="Q7" s="24">
        <v>19095.2</v>
      </c>
      <c r="R7" s="24">
        <v>18645.099999999999</v>
      </c>
      <c r="S7" s="24">
        <v>18439</v>
      </c>
      <c r="T7" s="24">
        <v>18113.400000000001</v>
      </c>
      <c r="U7" s="24">
        <v>17826.099999999999</v>
      </c>
      <c r="V7" s="24">
        <v>12492.8</v>
      </c>
      <c r="W7" s="24">
        <v>13695.8</v>
      </c>
      <c r="X7" s="24">
        <v>14436.9</v>
      </c>
      <c r="Y7" s="24">
        <v>15177.5</v>
      </c>
      <c r="Z7" s="114">
        <v>15682.1</v>
      </c>
    </row>
    <row r="8" spans="1:33" ht="15" customHeight="1" x14ac:dyDescent="0.25">
      <c r="A8" s="25" t="s">
        <v>14</v>
      </c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8"/>
      <c r="Q8" s="28"/>
      <c r="R8" s="28"/>
      <c r="S8" s="28"/>
      <c r="T8" s="28"/>
      <c r="U8" s="28"/>
      <c r="V8" s="28"/>
      <c r="W8" s="28"/>
      <c r="X8" s="28"/>
      <c r="Y8" s="28"/>
      <c r="Z8" s="115"/>
    </row>
    <row r="9" spans="1:33" ht="20.100000000000001" customHeight="1" x14ac:dyDescent="0.25">
      <c r="A9" s="29" t="s">
        <v>15</v>
      </c>
      <c r="B9" s="26">
        <v>1418.8</v>
      </c>
      <c r="C9" s="27">
        <v>1305.9000000000001</v>
      </c>
      <c r="D9" s="27">
        <v>1270.7</v>
      </c>
      <c r="E9" s="27">
        <v>1303.5</v>
      </c>
      <c r="F9" s="27">
        <v>1335.1</v>
      </c>
      <c r="G9" s="27">
        <v>1338.7</v>
      </c>
      <c r="H9" s="27">
        <v>1338.6</v>
      </c>
      <c r="I9" s="27">
        <v>1281.9000000000001</v>
      </c>
      <c r="J9" s="27">
        <v>1295.5999999999999</v>
      </c>
      <c r="K9" s="27">
        <v>1136.9000000000001</v>
      </c>
      <c r="L9" s="27">
        <v>946.5</v>
      </c>
      <c r="M9" s="27">
        <v>993.1</v>
      </c>
      <c r="N9" s="27">
        <v>1058.8</v>
      </c>
      <c r="O9" s="28">
        <v>1079.5999999999999</v>
      </c>
      <c r="P9" s="28">
        <v>1076.4000000000001</v>
      </c>
      <c r="Q9" s="28">
        <v>1024.5999999999999</v>
      </c>
      <c r="R9" s="28">
        <v>1040</v>
      </c>
      <c r="S9" s="28">
        <v>1121.3</v>
      </c>
      <c r="T9" s="28">
        <v>1160.4000000000001</v>
      </c>
      <c r="U9" s="28">
        <v>1201.5</v>
      </c>
      <c r="V9" s="28">
        <v>875.8</v>
      </c>
      <c r="W9" s="28">
        <v>1059.3</v>
      </c>
      <c r="X9" s="28">
        <v>1142.5</v>
      </c>
      <c r="Y9" s="28">
        <v>1208.3</v>
      </c>
      <c r="Z9" s="115">
        <v>1295</v>
      </c>
      <c r="AA9" s="30"/>
      <c r="AE9" s="30"/>
      <c r="AF9" s="30"/>
      <c r="AG9" s="30"/>
    </row>
    <row r="10" spans="1:33" ht="20.100000000000001" customHeight="1" x14ac:dyDescent="0.25">
      <c r="A10" s="31" t="s">
        <v>16</v>
      </c>
      <c r="B10" s="26">
        <v>23001.1</v>
      </c>
      <c r="C10" s="27">
        <v>22462.2</v>
      </c>
      <c r="D10" s="27">
        <v>21920.6</v>
      </c>
      <c r="E10" s="27">
        <v>20912.3</v>
      </c>
      <c r="F10" s="27">
        <v>21018.3</v>
      </c>
      <c r="G10" s="27">
        <v>16374</v>
      </c>
      <c r="H10" s="27">
        <v>14733.6</v>
      </c>
      <c r="I10" s="27">
        <v>14794.9</v>
      </c>
      <c r="J10" s="27">
        <v>14717.8</v>
      </c>
      <c r="K10" s="27">
        <v>13704.4</v>
      </c>
      <c r="L10" s="27">
        <v>13433.7</v>
      </c>
      <c r="M10" s="27">
        <v>13304.9</v>
      </c>
      <c r="N10" s="27">
        <v>12766.2</v>
      </c>
      <c r="O10" s="28">
        <v>11586.8</v>
      </c>
      <c r="P10" s="28">
        <v>11554.3</v>
      </c>
      <c r="Q10" s="28">
        <v>11522.9</v>
      </c>
      <c r="R10" s="28">
        <v>11295.8</v>
      </c>
      <c r="S10" s="28">
        <v>11184.9</v>
      </c>
      <c r="T10" s="28">
        <v>10912.1</v>
      </c>
      <c r="U10" s="28">
        <v>10637.2</v>
      </c>
      <c r="V10" s="28">
        <v>7695.4</v>
      </c>
      <c r="W10" s="28">
        <v>8031.4</v>
      </c>
      <c r="X10" s="28">
        <v>8457.9</v>
      </c>
      <c r="Y10" s="28">
        <v>8975.6</v>
      </c>
      <c r="Z10" s="115">
        <v>9194.7000000000007</v>
      </c>
      <c r="AA10" s="30"/>
      <c r="AE10" s="30"/>
      <c r="AF10" s="30"/>
      <c r="AG10" s="30"/>
    </row>
    <row r="11" spans="1:33" ht="20.100000000000001" customHeight="1" x14ac:dyDescent="0.25">
      <c r="A11" s="32" t="s">
        <v>17</v>
      </c>
      <c r="B11" s="26">
        <v>7421.2</v>
      </c>
      <c r="C11" s="27">
        <v>7353.5</v>
      </c>
      <c r="D11" s="27">
        <v>6982.3</v>
      </c>
      <c r="E11" s="27">
        <v>6321</v>
      </c>
      <c r="F11" s="27">
        <v>5803.8</v>
      </c>
      <c r="G11" s="27">
        <v>4123.3999999999996</v>
      </c>
      <c r="H11" s="27">
        <v>3267.1</v>
      </c>
      <c r="I11" s="27">
        <v>2660.3</v>
      </c>
      <c r="J11" s="27">
        <v>2537.1999999999998</v>
      </c>
      <c r="K11" s="27">
        <v>2216.6</v>
      </c>
      <c r="L11" s="27">
        <v>2078.6999999999998</v>
      </c>
      <c r="M11" s="27">
        <v>2003.6</v>
      </c>
      <c r="N11" s="27">
        <v>1928.3</v>
      </c>
      <c r="O11" s="28">
        <v>1629</v>
      </c>
      <c r="P11" s="28">
        <v>1551.4</v>
      </c>
      <c r="Q11" s="28">
        <v>1477.9</v>
      </c>
      <c r="R11" s="28">
        <v>1396.6</v>
      </c>
      <c r="S11" s="28">
        <v>1326.9</v>
      </c>
      <c r="T11" s="28">
        <v>1259.4000000000001</v>
      </c>
      <c r="U11" s="28">
        <v>1240.3</v>
      </c>
      <c r="V11" s="28">
        <v>889.4</v>
      </c>
      <c r="W11" s="28">
        <v>992.1</v>
      </c>
      <c r="X11" s="28">
        <v>998.8</v>
      </c>
      <c r="Y11" s="28">
        <v>993.5</v>
      </c>
      <c r="Z11" s="115">
        <v>1027.0999999999999</v>
      </c>
      <c r="AA11" s="30"/>
      <c r="AE11" s="30"/>
      <c r="AF11" s="30"/>
      <c r="AG11" s="30"/>
    </row>
    <row r="12" spans="1:33" ht="20.100000000000001" customHeight="1" x14ac:dyDescent="0.25">
      <c r="A12" s="29" t="s">
        <v>18</v>
      </c>
      <c r="B12" s="26">
        <v>8759.2999999999993</v>
      </c>
      <c r="C12" s="27">
        <v>8604.2999999999993</v>
      </c>
      <c r="D12" s="27">
        <v>8181.1</v>
      </c>
      <c r="E12" s="27">
        <v>7290.8</v>
      </c>
      <c r="F12" s="27">
        <v>6679.7</v>
      </c>
      <c r="G12" s="27">
        <v>4653.1000000000004</v>
      </c>
      <c r="H12" s="27">
        <v>3774.6</v>
      </c>
      <c r="I12" s="27">
        <v>2971.9</v>
      </c>
      <c r="J12" s="27">
        <v>2733</v>
      </c>
      <c r="K12" s="27">
        <v>2414</v>
      </c>
      <c r="L12" s="27">
        <v>2205.6999999999998</v>
      </c>
      <c r="M12" s="27">
        <v>2152.1999999999998</v>
      </c>
      <c r="N12" s="27">
        <v>2051.1999999999998</v>
      </c>
      <c r="O12" s="28">
        <v>1735.1</v>
      </c>
      <c r="P12" s="28">
        <v>1803.1</v>
      </c>
      <c r="Q12" s="28">
        <v>1616.5</v>
      </c>
      <c r="R12" s="28">
        <v>1483.1</v>
      </c>
      <c r="S12" s="28">
        <v>1375.7</v>
      </c>
      <c r="T12" s="28">
        <v>1262.8</v>
      </c>
      <c r="U12" s="28">
        <v>1148.0999999999999</v>
      </c>
      <c r="V12" s="28">
        <v>759.6</v>
      </c>
      <c r="W12" s="28">
        <v>807.9</v>
      </c>
      <c r="X12" s="28">
        <v>830.8</v>
      </c>
      <c r="Y12" s="28">
        <v>856.9</v>
      </c>
      <c r="Z12" s="115">
        <v>890.8</v>
      </c>
      <c r="AA12" s="30"/>
      <c r="AE12" s="30"/>
      <c r="AF12" s="30"/>
      <c r="AG12" s="30"/>
    </row>
    <row r="13" spans="1:33" ht="20.100000000000001" customHeight="1" x14ac:dyDescent="0.25">
      <c r="A13" s="29" t="s">
        <v>19</v>
      </c>
      <c r="B13" s="26">
        <v>4186.3999999999996</v>
      </c>
      <c r="C13" s="27">
        <v>4204.6000000000004</v>
      </c>
      <c r="D13" s="27">
        <v>4199.5</v>
      </c>
      <c r="E13" s="27">
        <v>4204.7</v>
      </c>
      <c r="F13" s="27">
        <v>4210.6000000000004</v>
      </c>
      <c r="G13" s="27">
        <v>3574.3</v>
      </c>
      <c r="H13" s="27">
        <v>3465.7</v>
      </c>
      <c r="I13" s="27">
        <v>3528.4</v>
      </c>
      <c r="J13" s="27">
        <v>3593.7</v>
      </c>
      <c r="K13" s="27">
        <v>3306.6</v>
      </c>
      <c r="L13" s="27">
        <v>3293.7</v>
      </c>
      <c r="M13" s="27">
        <v>3351.3</v>
      </c>
      <c r="N13" s="27">
        <v>3445.6</v>
      </c>
      <c r="O13" s="28">
        <v>3490.7</v>
      </c>
      <c r="P13" s="28">
        <v>3436.6</v>
      </c>
      <c r="Q13" s="28">
        <v>3336.5</v>
      </c>
      <c r="R13" s="28">
        <v>3311.7</v>
      </c>
      <c r="S13" s="28">
        <v>3298</v>
      </c>
      <c r="T13" s="28">
        <v>3380.6</v>
      </c>
      <c r="U13" s="28">
        <v>3450.9</v>
      </c>
      <c r="V13" s="28">
        <v>2189.1</v>
      </c>
      <c r="W13" s="28">
        <v>2680</v>
      </c>
      <c r="X13" s="28">
        <v>2897.9</v>
      </c>
      <c r="Y13" s="28">
        <v>3023.1</v>
      </c>
      <c r="Z13" s="115">
        <v>3147.7</v>
      </c>
      <c r="AA13" s="30"/>
      <c r="AE13" s="30"/>
      <c r="AF13" s="30"/>
      <c r="AG13" s="30"/>
    </row>
    <row r="14" spans="1:33" ht="20.100000000000001" customHeight="1" x14ac:dyDescent="0.25">
      <c r="A14" s="32" t="s">
        <v>20</v>
      </c>
      <c r="B14" s="26">
        <v>1.1000000000000001</v>
      </c>
      <c r="C14" s="27">
        <v>0.8</v>
      </c>
      <c r="D14" s="27">
        <v>0.7</v>
      </c>
      <c r="E14" s="27">
        <v>1.2</v>
      </c>
      <c r="F14" s="27">
        <v>1.1000000000000001</v>
      </c>
      <c r="G14" s="27">
        <v>1.3</v>
      </c>
      <c r="H14" s="27">
        <v>1.4</v>
      </c>
      <c r="I14" s="27">
        <v>1.4</v>
      </c>
      <c r="J14" s="27">
        <v>1.4</v>
      </c>
      <c r="K14" s="27">
        <v>1.5</v>
      </c>
      <c r="L14" s="27">
        <v>1.5</v>
      </c>
      <c r="M14" s="27">
        <v>1.3</v>
      </c>
      <c r="N14" s="27">
        <v>1.1000000000000001</v>
      </c>
      <c r="O14" s="28">
        <v>0.5</v>
      </c>
      <c r="P14" s="28">
        <v>6.9</v>
      </c>
      <c r="Q14" s="28">
        <v>9.6</v>
      </c>
      <c r="R14" s="28">
        <v>13</v>
      </c>
      <c r="S14" s="28">
        <v>11.7</v>
      </c>
      <c r="T14" s="28">
        <v>7.5</v>
      </c>
      <c r="U14" s="28">
        <v>6</v>
      </c>
      <c r="V14" s="28">
        <v>4.5999999999999996</v>
      </c>
      <c r="W14" s="28">
        <v>4.5</v>
      </c>
      <c r="X14" s="28">
        <v>3.4</v>
      </c>
      <c r="Y14" s="28">
        <v>2.7</v>
      </c>
      <c r="Z14" s="115">
        <v>1.6</v>
      </c>
      <c r="AA14" s="30"/>
      <c r="AE14" s="30"/>
      <c r="AF14" s="30"/>
      <c r="AG14" s="30"/>
    </row>
    <row r="15" spans="1:33" ht="20.100000000000001" customHeight="1" x14ac:dyDescent="0.25">
      <c r="A15" s="29" t="s">
        <v>21</v>
      </c>
      <c r="B15" s="26">
        <v>27.7</v>
      </c>
      <c r="C15" s="27">
        <v>30</v>
      </c>
      <c r="D15" s="27">
        <v>28.8</v>
      </c>
      <c r="E15" s="27">
        <v>24.4</v>
      </c>
      <c r="F15" s="27">
        <v>25.5</v>
      </c>
      <c r="G15" s="27">
        <v>20.7</v>
      </c>
      <c r="H15" s="27">
        <v>19.600000000000001</v>
      </c>
      <c r="I15" s="27">
        <v>21.5</v>
      </c>
      <c r="J15" s="27">
        <v>19.899999999999999</v>
      </c>
      <c r="K15" s="27">
        <v>17.2</v>
      </c>
      <c r="L15" s="27">
        <v>16.100000000000001</v>
      </c>
      <c r="M15" s="27">
        <v>14.2</v>
      </c>
      <c r="N15" s="27">
        <v>13.7</v>
      </c>
      <c r="O15" s="28">
        <v>13</v>
      </c>
      <c r="P15" s="28">
        <v>12.6</v>
      </c>
      <c r="Q15" s="28">
        <v>13.6</v>
      </c>
      <c r="R15" s="28">
        <v>13.5</v>
      </c>
      <c r="S15" s="28">
        <v>12.7</v>
      </c>
      <c r="T15" s="28">
        <v>12.3</v>
      </c>
      <c r="U15" s="28">
        <v>11.1</v>
      </c>
      <c r="V15" s="28">
        <v>7.7</v>
      </c>
      <c r="W15" s="28">
        <v>8.6</v>
      </c>
      <c r="X15" s="28">
        <v>9.1</v>
      </c>
      <c r="Y15" s="28">
        <v>10.6</v>
      </c>
      <c r="Z15" s="115">
        <v>12.1</v>
      </c>
      <c r="AA15" s="30"/>
      <c r="AE15" s="30"/>
      <c r="AF15" s="30"/>
      <c r="AG15" s="30"/>
    </row>
    <row r="16" spans="1:33" ht="20.100000000000001" customHeight="1" x14ac:dyDescent="0.25">
      <c r="A16" s="33" t="s">
        <v>22</v>
      </c>
      <c r="B16" s="34">
        <v>23</v>
      </c>
      <c r="C16" s="35">
        <v>26.4</v>
      </c>
      <c r="D16" s="35">
        <v>28</v>
      </c>
      <c r="E16" s="35">
        <v>30.9</v>
      </c>
      <c r="F16" s="35">
        <v>35.200000000000003</v>
      </c>
      <c r="G16" s="35">
        <v>36.5</v>
      </c>
      <c r="H16" s="35">
        <v>39.5</v>
      </c>
      <c r="I16" s="35">
        <v>46.8</v>
      </c>
      <c r="J16" s="35">
        <v>51.5</v>
      </c>
      <c r="K16" s="35">
        <v>46.6</v>
      </c>
      <c r="L16" s="35">
        <v>58.6</v>
      </c>
      <c r="M16" s="35">
        <v>66</v>
      </c>
      <c r="N16" s="35">
        <v>76.099999999999994</v>
      </c>
      <c r="O16" s="36">
        <v>86.3</v>
      </c>
      <c r="P16" s="36">
        <v>95</v>
      </c>
      <c r="Q16" s="36">
        <v>93.6</v>
      </c>
      <c r="R16" s="36">
        <v>91.3</v>
      </c>
      <c r="S16" s="36">
        <v>107.8</v>
      </c>
      <c r="T16" s="36">
        <v>118.4</v>
      </c>
      <c r="U16" s="36">
        <v>130.9</v>
      </c>
      <c r="V16" s="36">
        <v>71.099999999999994</v>
      </c>
      <c r="W16" s="36">
        <v>111.9</v>
      </c>
      <c r="X16" s="36">
        <v>96.4</v>
      </c>
      <c r="Y16" s="36">
        <v>106.7</v>
      </c>
      <c r="Z16" s="116">
        <v>113.1</v>
      </c>
      <c r="AA16" s="30"/>
      <c r="AE16" s="30"/>
      <c r="AF16" s="30"/>
      <c r="AG16" s="30"/>
    </row>
    <row r="17" spans="1:29" ht="15.75" customHeight="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</row>
    <row r="18" spans="1:29" ht="15.75" customHeight="1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</row>
    <row r="19" spans="1:29" ht="15.75" customHeight="1" x14ac:dyDescent="0.25">
      <c r="A19" s="165" t="s">
        <v>23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37"/>
      <c r="AA19" s="38"/>
      <c r="AB19" s="38"/>
      <c r="AC19" s="38"/>
    </row>
    <row r="20" spans="1:29" ht="18.75" customHeight="1" x14ac:dyDescent="0.25">
      <c r="A20" s="166" t="s">
        <v>24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AA20" s="38"/>
      <c r="AB20" s="38"/>
      <c r="AC20" s="38"/>
    </row>
    <row r="21" spans="1:29" ht="18.75" x14ac:dyDescent="0.25">
      <c r="A21" s="165" t="s">
        <v>25</v>
      </c>
      <c r="B21" s="165"/>
      <c r="C21" s="165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X21" s="30"/>
      <c r="AA21" s="38"/>
      <c r="AB21" s="38"/>
      <c r="AC21" s="38"/>
    </row>
    <row r="22" spans="1:29" x14ac:dyDescent="0.25">
      <c r="A22" s="164" t="s">
        <v>26</v>
      </c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AA22" s="38"/>
      <c r="AB22" s="38"/>
      <c r="AC22" s="38"/>
    </row>
    <row r="23" spans="1:29" ht="15" x14ac:dyDescent="0.25">
      <c r="A23" s="148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</row>
    <row r="24" spans="1:29" ht="15" x14ac:dyDescent="0.25">
      <c r="A24" s="145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AA24" s="38"/>
      <c r="AB24" s="38"/>
      <c r="AC24" s="38"/>
    </row>
    <row r="25" spans="1:29" ht="15" x14ac:dyDescent="0.25">
      <c r="A25" s="145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8"/>
      <c r="AA25" s="38"/>
      <c r="AB25" s="38"/>
      <c r="AC25" s="38"/>
    </row>
    <row r="26" spans="1:29" ht="15" x14ac:dyDescent="0.25">
      <c r="A26" s="146"/>
      <c r="B26" s="159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8"/>
      <c r="AA26" s="38"/>
      <c r="AB26" s="38"/>
      <c r="AC26" s="38"/>
    </row>
    <row r="27" spans="1:29" ht="15" x14ac:dyDescent="0.25">
      <c r="A27" s="145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8"/>
      <c r="AA27" s="38"/>
      <c r="AB27" s="38"/>
      <c r="AC27" s="38"/>
    </row>
    <row r="28" spans="1:29" ht="15" x14ac:dyDescent="0.25">
      <c r="A28" s="145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57"/>
      <c r="Q28" s="157"/>
      <c r="R28" s="157"/>
      <c r="S28" s="157"/>
      <c r="T28" s="157"/>
      <c r="U28" s="157"/>
      <c r="V28" s="157"/>
    </row>
    <row r="29" spans="1:29" ht="15" x14ac:dyDescent="0.25">
      <c r="A29" s="145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</row>
    <row r="30" spans="1:29" ht="15" x14ac:dyDescent="0.25">
      <c r="A30" s="145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</row>
    <row r="31" spans="1:29" ht="15" x14ac:dyDescent="0.25">
      <c r="A31" s="147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</row>
    <row r="33" spans="1:26" s="153" customFormat="1" x14ac:dyDescent="0.25">
      <c r="A33" s="148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</row>
    <row r="34" spans="1:26" x14ac:dyDescent="0.25">
      <c r="A34" s="145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</row>
    <row r="35" spans="1:26" x14ac:dyDescent="0.25">
      <c r="A35" s="145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</row>
    <row r="36" spans="1:26" x14ac:dyDescent="0.25">
      <c r="A36" s="146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</row>
    <row r="37" spans="1:26" x14ac:dyDescent="0.25">
      <c r="A37" s="145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spans="1:26" x14ac:dyDescent="0.25">
      <c r="A38" s="145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</row>
    <row r="39" spans="1:26" x14ac:dyDescent="0.25">
      <c r="A39" s="145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</row>
    <row r="40" spans="1:26" x14ac:dyDescent="0.25">
      <c r="A40" s="145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</row>
    <row r="41" spans="1:26" x14ac:dyDescent="0.25">
      <c r="A41" s="147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</row>
    <row r="43" spans="1:26" x14ac:dyDescent="0.25">
      <c r="A43" s="148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5"/>
    </row>
    <row r="44" spans="1:26" x14ac:dyDescent="0.25">
      <c r="A44" s="145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5"/>
      <c r="O44" s="155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</row>
    <row r="45" spans="1:26" x14ac:dyDescent="0.25">
      <c r="A45" s="145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5"/>
      <c r="R45" s="154"/>
      <c r="S45" s="154"/>
      <c r="T45" s="154"/>
      <c r="U45" s="154"/>
      <c r="V45" s="154"/>
      <c r="W45" s="154"/>
      <c r="X45" s="154"/>
      <c r="Y45" s="154"/>
      <c r="Z45" s="154"/>
    </row>
    <row r="46" spans="1:26" x14ac:dyDescent="0.25">
      <c r="A46" s="146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5"/>
    </row>
    <row r="47" spans="1:26" x14ac:dyDescent="0.25">
      <c r="A47" s="145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5"/>
    </row>
    <row r="48" spans="1:26" x14ac:dyDescent="0.25">
      <c r="A48" s="145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</row>
    <row r="49" spans="1:26" x14ac:dyDescent="0.25">
      <c r="A49" s="145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1:26" x14ac:dyDescent="0.25">
      <c r="A50" s="145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1:26" x14ac:dyDescent="0.25">
      <c r="A51" s="147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1:26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</row>
    <row r="53" spans="1:26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</row>
    <row r="54" spans="1:26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</row>
    <row r="55" spans="1:26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</row>
    <row r="56" spans="1:26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</row>
    <row r="57" spans="1:26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</row>
    <row r="58" spans="1:26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</row>
    <row r="59" spans="1:26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</row>
    <row r="60" spans="1:26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</row>
  </sheetData>
  <mergeCells count="6">
    <mergeCell ref="B2:Z2"/>
    <mergeCell ref="B3:Z3"/>
    <mergeCell ref="A22:O22"/>
    <mergeCell ref="A19:S19"/>
    <mergeCell ref="A20:T20"/>
    <mergeCell ref="A21:C21"/>
  </mergeCells>
  <hyperlinks>
    <hyperlink ref="A1" location="'Содержание'!A1" display="К содержанию"/>
  </hyperlinks>
  <pageMargins left="0.7" right="0.7" top="0.75" bottom="0.75" header="0.3" footer="0.3"/>
  <pageSetup paperSize="9" scale="71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6"/>
  <sheetViews>
    <sheetView zoomScale="90" zoomScaleNormal="90" workbookViewId="0">
      <pane xSplit="1" ySplit="6" topLeftCell="E7" activePane="bottomRight" state="frozen"/>
      <selection activeCell="Y4" sqref="Y4"/>
      <selection pane="topRight"/>
      <selection pane="bottomLeft"/>
      <selection pane="bottomRight" activeCell="Z7" sqref="Z7"/>
    </sheetView>
  </sheetViews>
  <sheetFormatPr defaultRowHeight="15" x14ac:dyDescent="0.25"/>
  <cols>
    <col min="1" max="1" width="30.7109375" style="39" customWidth="1"/>
    <col min="2" max="22" width="9.7109375" style="39" customWidth="1"/>
    <col min="23" max="26" width="9.7109375" customWidth="1"/>
  </cols>
  <sheetData>
    <row r="1" spans="1:27" s="111" customFormat="1" x14ac:dyDescent="0.25">
      <c r="A1" s="120" t="s">
        <v>62</v>
      </c>
    </row>
    <row r="2" spans="1:27" s="125" customFormat="1" ht="20.100000000000001" customHeight="1" x14ac:dyDescent="0.25">
      <c r="A2" s="124"/>
      <c r="B2" s="168" t="s">
        <v>27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spans="1:27" s="125" customFormat="1" ht="15" customHeight="1" x14ac:dyDescent="0.25">
      <c r="A3" s="124"/>
      <c r="B3" s="169" t="s">
        <v>28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 spans="1:27" s="125" customFormat="1" ht="15" customHeight="1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7" s="132" customFormat="1" ht="20.100000000000001" customHeight="1" x14ac:dyDescent="0.25">
      <c r="A5" s="129"/>
      <c r="B5" s="42">
        <v>2000</v>
      </c>
      <c r="C5" s="42">
        <v>2001</v>
      </c>
      <c r="D5" s="42">
        <v>2002</v>
      </c>
      <c r="E5" s="130">
        <v>2003</v>
      </c>
      <c r="F5" s="130">
        <v>2004</v>
      </c>
      <c r="G5" s="42">
        <v>2005</v>
      </c>
      <c r="H5" s="42">
        <v>2006</v>
      </c>
      <c r="I5" s="42">
        <v>2007</v>
      </c>
      <c r="J5" s="42">
        <v>2008</v>
      </c>
      <c r="K5" s="42">
        <v>2009</v>
      </c>
      <c r="L5" s="130">
        <v>2010</v>
      </c>
      <c r="M5" s="42">
        <v>2011</v>
      </c>
      <c r="N5" s="131">
        <v>2012</v>
      </c>
      <c r="O5" s="42">
        <v>2013</v>
      </c>
      <c r="P5" s="131">
        <v>2014</v>
      </c>
      <c r="Q5" s="42">
        <v>2015</v>
      </c>
      <c r="R5" s="131">
        <v>2016</v>
      </c>
      <c r="S5" s="42">
        <v>2017</v>
      </c>
      <c r="T5" s="41">
        <v>2018</v>
      </c>
      <c r="U5" s="42">
        <v>2019</v>
      </c>
      <c r="V5" s="42">
        <v>2020</v>
      </c>
      <c r="W5" s="42">
        <v>2021</v>
      </c>
      <c r="X5" s="42">
        <v>2022</v>
      </c>
      <c r="Y5" s="42">
        <v>2023</v>
      </c>
      <c r="Z5" s="42">
        <v>2024</v>
      </c>
    </row>
    <row r="6" spans="1:27" s="125" customFormat="1" ht="15" customHeight="1" x14ac:dyDescent="0.25">
      <c r="A6" s="43"/>
      <c r="B6" s="44"/>
      <c r="C6" s="45"/>
      <c r="D6" s="44"/>
      <c r="E6" s="45"/>
      <c r="F6" s="44"/>
      <c r="G6" s="45"/>
      <c r="H6" s="44"/>
      <c r="I6" s="45"/>
      <c r="J6" s="44"/>
      <c r="K6" s="45"/>
      <c r="L6" s="44"/>
      <c r="M6" s="45"/>
      <c r="N6" s="44"/>
      <c r="O6" s="45"/>
      <c r="P6" s="44"/>
      <c r="Q6" s="45"/>
      <c r="R6" s="44"/>
      <c r="S6" s="45"/>
      <c r="T6" s="46"/>
      <c r="U6" s="47"/>
      <c r="V6" s="48"/>
      <c r="W6" s="48"/>
      <c r="X6" s="48"/>
      <c r="Y6" s="48"/>
      <c r="Z6" s="48"/>
    </row>
    <row r="7" spans="1:27" s="125" customFormat="1" ht="20.100000000000001" customHeight="1" x14ac:dyDescent="0.25">
      <c r="A7" s="126" t="s">
        <v>13</v>
      </c>
      <c r="B7" s="49">
        <f t="shared" ref="B7:V7" si="0">B9+B11+B13+B12+B10</f>
        <v>100</v>
      </c>
      <c r="C7" s="50">
        <f t="shared" si="0"/>
        <v>99.999999999999986</v>
      </c>
      <c r="D7" s="49">
        <f t="shared" si="0"/>
        <v>99.999999999999986</v>
      </c>
      <c r="E7" s="50">
        <f t="shared" si="0"/>
        <v>99.999999999999986</v>
      </c>
      <c r="F7" s="49">
        <f t="shared" si="0"/>
        <v>100</v>
      </c>
      <c r="G7" s="50">
        <f t="shared" si="0"/>
        <v>99.999999999999986</v>
      </c>
      <c r="H7" s="49">
        <f t="shared" si="0"/>
        <v>99.999999999999986</v>
      </c>
      <c r="I7" s="50">
        <f t="shared" si="0"/>
        <v>100</v>
      </c>
      <c r="J7" s="49">
        <f t="shared" si="0"/>
        <v>100</v>
      </c>
      <c r="K7" s="50">
        <f t="shared" si="0"/>
        <v>100</v>
      </c>
      <c r="L7" s="49">
        <f t="shared" si="0"/>
        <v>99.999999999999986</v>
      </c>
      <c r="M7" s="50">
        <f t="shared" si="0"/>
        <v>99.999999999999986</v>
      </c>
      <c r="N7" s="49">
        <f t="shared" si="0"/>
        <v>100</v>
      </c>
      <c r="O7" s="50">
        <f t="shared" si="0"/>
        <v>100</v>
      </c>
      <c r="P7" s="49">
        <f t="shared" si="0"/>
        <v>99.999999999999986</v>
      </c>
      <c r="Q7" s="50">
        <f t="shared" si="0"/>
        <v>99.95</v>
      </c>
      <c r="R7" s="49">
        <f t="shared" si="0"/>
        <v>99.970000000000013</v>
      </c>
      <c r="S7" s="50">
        <f t="shared" si="0"/>
        <v>99.999999999999986</v>
      </c>
      <c r="T7" s="49">
        <f t="shared" si="0"/>
        <v>100</v>
      </c>
      <c r="U7" s="50">
        <f t="shared" si="0"/>
        <v>100</v>
      </c>
      <c r="V7" s="51">
        <f t="shared" si="0"/>
        <v>99.999999999999986</v>
      </c>
      <c r="W7" s="51">
        <f>W9+W11+W13+W12+W10</f>
        <v>100</v>
      </c>
      <c r="X7" s="51">
        <f>X9+X11+X13+X12+X10</f>
        <v>100</v>
      </c>
      <c r="Y7" s="51">
        <f>Y9+Y11+Y13+Y12+Y10</f>
        <v>99.999999999999986</v>
      </c>
      <c r="Z7" s="51">
        <f>Z9+Z11+Z13+Z12+Z10</f>
        <v>100</v>
      </c>
    </row>
    <row r="8" spans="1:27" s="125" customFormat="1" ht="15" customHeight="1" x14ac:dyDescent="0.25">
      <c r="A8" s="127" t="s">
        <v>14</v>
      </c>
      <c r="B8" s="52"/>
      <c r="C8" s="53"/>
      <c r="D8" s="52"/>
      <c r="E8" s="53"/>
      <c r="F8" s="52"/>
      <c r="G8" s="53"/>
      <c r="H8" s="52"/>
      <c r="I8" s="53"/>
      <c r="J8" s="52"/>
      <c r="K8" s="53"/>
      <c r="L8" s="52"/>
      <c r="M8" s="53"/>
      <c r="N8" s="52"/>
      <c r="O8" s="53"/>
      <c r="P8" s="52"/>
      <c r="Q8" s="53"/>
      <c r="R8" s="52"/>
      <c r="S8" s="53"/>
      <c r="T8" s="52"/>
      <c r="U8" s="53"/>
      <c r="V8" s="54"/>
      <c r="W8" s="54"/>
      <c r="X8" s="54"/>
      <c r="Y8" s="54"/>
      <c r="Z8" s="54"/>
    </row>
    <row r="9" spans="1:27" s="125" customFormat="1" ht="20.100000000000001" customHeight="1" x14ac:dyDescent="0.25">
      <c r="A9" s="55" t="s">
        <v>15</v>
      </c>
      <c r="B9" s="56">
        <v>3.2</v>
      </c>
      <c r="C9" s="57">
        <v>3</v>
      </c>
      <c r="D9" s="56">
        <v>3</v>
      </c>
      <c r="E9" s="57">
        <v>3.3</v>
      </c>
      <c r="F9" s="56">
        <v>3.4</v>
      </c>
      <c r="G9" s="57">
        <v>4.4000000000000004</v>
      </c>
      <c r="H9" s="56">
        <v>5</v>
      </c>
      <c r="I9" s="57">
        <v>5.0999999999999996</v>
      </c>
      <c r="J9" s="56">
        <v>5.2</v>
      </c>
      <c r="K9" s="57">
        <v>5</v>
      </c>
      <c r="L9" s="56">
        <v>4.3</v>
      </c>
      <c r="M9" s="57">
        <v>4.5</v>
      </c>
      <c r="N9" s="56">
        <v>5</v>
      </c>
      <c r="O9" s="57">
        <v>5.5</v>
      </c>
      <c r="P9" s="56">
        <v>5.5</v>
      </c>
      <c r="Q9" s="57">
        <v>5.4</v>
      </c>
      <c r="R9" s="56">
        <v>5.6</v>
      </c>
      <c r="S9" s="57">
        <v>6.1</v>
      </c>
      <c r="T9" s="56">
        <v>6.4</v>
      </c>
      <c r="U9" s="57">
        <v>6.7</v>
      </c>
      <c r="V9" s="58">
        <v>7</v>
      </c>
      <c r="W9" s="58">
        <v>7.7</v>
      </c>
      <c r="X9" s="58">
        <v>7.9</v>
      </c>
      <c r="Y9" s="58">
        <v>8</v>
      </c>
      <c r="Z9" s="58">
        <v>8.3000000000000007</v>
      </c>
      <c r="AA9" s="128"/>
    </row>
    <row r="10" spans="1:27" s="125" customFormat="1" ht="20.100000000000001" customHeight="1" x14ac:dyDescent="0.25">
      <c r="A10" s="55" t="s">
        <v>29</v>
      </c>
      <c r="B10" s="56">
        <v>0.1</v>
      </c>
      <c r="C10" s="57">
        <v>0.1</v>
      </c>
      <c r="D10" s="56">
        <v>0.1</v>
      </c>
      <c r="E10" s="57">
        <v>0.1</v>
      </c>
      <c r="F10" s="56">
        <v>0.1</v>
      </c>
      <c r="G10" s="57">
        <v>0.1</v>
      </c>
      <c r="H10" s="56">
        <v>0.1</v>
      </c>
      <c r="I10" s="57">
        <v>0.2</v>
      </c>
      <c r="J10" s="56">
        <v>0.2</v>
      </c>
      <c r="K10" s="57">
        <v>0.2</v>
      </c>
      <c r="L10" s="56">
        <v>0.3</v>
      </c>
      <c r="M10" s="57">
        <v>0.3</v>
      </c>
      <c r="N10" s="56">
        <v>0.4</v>
      </c>
      <c r="O10" s="57">
        <v>0.4</v>
      </c>
      <c r="P10" s="56">
        <v>0.5</v>
      </c>
      <c r="Q10" s="57">
        <v>0.5</v>
      </c>
      <c r="R10" s="56">
        <v>0.5</v>
      </c>
      <c r="S10" s="57">
        <v>0.6</v>
      </c>
      <c r="T10" s="56">
        <v>0.7</v>
      </c>
      <c r="U10" s="53">
        <v>0.7</v>
      </c>
      <c r="V10" s="54">
        <v>0.6</v>
      </c>
      <c r="W10" s="54">
        <v>0.8</v>
      </c>
      <c r="X10" s="54">
        <v>0.7</v>
      </c>
      <c r="Y10" s="54">
        <v>0.7</v>
      </c>
      <c r="Z10" s="54">
        <v>0.7</v>
      </c>
      <c r="AA10" s="128"/>
    </row>
    <row r="11" spans="1:27" s="125" customFormat="1" ht="20.100000000000001" customHeight="1" x14ac:dyDescent="0.25">
      <c r="A11" s="55" t="s">
        <v>30</v>
      </c>
      <c r="B11" s="56">
        <v>51.2</v>
      </c>
      <c r="C11" s="57">
        <v>51.1</v>
      </c>
      <c r="D11" s="56">
        <v>51.4</v>
      </c>
      <c r="E11" s="57">
        <v>52.1</v>
      </c>
      <c r="F11" s="56">
        <v>53.7</v>
      </c>
      <c r="G11" s="57">
        <v>54.4</v>
      </c>
      <c r="H11" s="56">
        <v>55.4</v>
      </c>
      <c r="I11" s="57">
        <v>58.4</v>
      </c>
      <c r="J11" s="56">
        <v>59</v>
      </c>
      <c r="K11" s="57">
        <v>60</v>
      </c>
      <c r="L11" s="56">
        <v>60.9</v>
      </c>
      <c r="M11" s="57">
        <v>60.8</v>
      </c>
      <c r="N11" s="56">
        <v>59.8</v>
      </c>
      <c r="O11" s="57">
        <v>59.1</v>
      </c>
      <c r="P11" s="56">
        <v>59.1</v>
      </c>
      <c r="Q11" s="57">
        <v>60.3</v>
      </c>
      <c r="R11" s="56">
        <v>60.6</v>
      </c>
      <c r="S11" s="57">
        <v>60.8</v>
      </c>
      <c r="T11" s="56">
        <v>60.3</v>
      </c>
      <c r="U11" s="53">
        <v>59.7</v>
      </c>
      <c r="V11" s="54">
        <v>61.6</v>
      </c>
      <c r="W11" s="54">
        <v>58.7</v>
      </c>
      <c r="X11" s="54">
        <v>58.6</v>
      </c>
      <c r="Y11" s="54">
        <v>59.1</v>
      </c>
      <c r="Z11" s="54">
        <v>58.6</v>
      </c>
      <c r="AA11" s="128"/>
    </row>
    <row r="12" spans="1:27" s="125" customFormat="1" ht="20.100000000000001" customHeight="1" x14ac:dyDescent="0.25">
      <c r="A12" s="55" t="s">
        <v>31</v>
      </c>
      <c r="B12" s="56">
        <v>0.1</v>
      </c>
      <c r="C12" s="57">
        <v>0.1</v>
      </c>
      <c r="D12" s="56">
        <v>0.1</v>
      </c>
      <c r="E12" s="57">
        <v>0.1</v>
      </c>
      <c r="F12" s="56">
        <v>0.1</v>
      </c>
      <c r="G12" s="57">
        <v>0.1</v>
      </c>
      <c r="H12" s="56">
        <v>0.1</v>
      </c>
      <c r="I12" s="57">
        <v>0.1</v>
      </c>
      <c r="J12" s="56">
        <v>0.1</v>
      </c>
      <c r="K12" s="57">
        <v>0.1</v>
      </c>
      <c r="L12" s="56">
        <v>0.1</v>
      </c>
      <c r="M12" s="57">
        <v>0.1</v>
      </c>
      <c r="N12" s="56">
        <v>0.1</v>
      </c>
      <c r="O12" s="57">
        <v>0.1</v>
      </c>
      <c r="P12" s="56">
        <v>0.1</v>
      </c>
      <c r="Q12" s="57">
        <v>0.15000000000000002</v>
      </c>
      <c r="R12" s="56">
        <v>0.17</v>
      </c>
      <c r="S12" s="57">
        <v>0.1</v>
      </c>
      <c r="T12" s="56">
        <v>0.1</v>
      </c>
      <c r="U12" s="53">
        <v>0.1</v>
      </c>
      <c r="V12" s="54">
        <v>0.1</v>
      </c>
      <c r="W12" s="54">
        <v>0.1</v>
      </c>
      <c r="X12" s="54">
        <v>0.1</v>
      </c>
      <c r="Y12" s="54">
        <v>0.1</v>
      </c>
      <c r="Z12" s="54">
        <v>0.1</v>
      </c>
      <c r="AA12" s="128"/>
    </row>
    <row r="13" spans="1:27" s="125" customFormat="1" ht="20.100000000000001" customHeight="1" x14ac:dyDescent="0.25">
      <c r="A13" s="59" t="s">
        <v>32</v>
      </c>
      <c r="B13" s="60">
        <v>45.4</v>
      </c>
      <c r="C13" s="61">
        <v>45.699999999999996</v>
      </c>
      <c r="D13" s="60">
        <v>45.4</v>
      </c>
      <c r="E13" s="61">
        <v>44.4</v>
      </c>
      <c r="F13" s="60">
        <v>42.7</v>
      </c>
      <c r="G13" s="61">
        <v>41</v>
      </c>
      <c r="H13" s="60">
        <v>39.4</v>
      </c>
      <c r="I13" s="61">
        <v>36.200000000000003</v>
      </c>
      <c r="J13" s="60">
        <v>35.5</v>
      </c>
      <c r="K13" s="61">
        <v>34.700000000000003</v>
      </c>
      <c r="L13" s="60">
        <v>34.4</v>
      </c>
      <c r="M13" s="61">
        <v>34.299999999999997</v>
      </c>
      <c r="N13" s="60">
        <v>34.699999999999996</v>
      </c>
      <c r="O13" s="61">
        <v>34.9</v>
      </c>
      <c r="P13" s="60">
        <v>34.799999999999997</v>
      </c>
      <c r="Q13" s="61">
        <v>33.599999999999994</v>
      </c>
      <c r="R13" s="60">
        <v>33.1</v>
      </c>
      <c r="S13" s="61">
        <v>32.400000000000006</v>
      </c>
      <c r="T13" s="60">
        <v>32.5</v>
      </c>
      <c r="U13" s="62">
        <v>32.799999999999997</v>
      </c>
      <c r="V13" s="63">
        <v>30.7</v>
      </c>
      <c r="W13" s="63">
        <v>32.700000000000003</v>
      </c>
      <c r="X13" s="63">
        <v>32.700000000000003</v>
      </c>
      <c r="Y13" s="64">
        <v>32.1</v>
      </c>
      <c r="Z13" s="64">
        <v>32.299999999999997</v>
      </c>
      <c r="AA13" s="128"/>
    </row>
    <row r="15" spans="1:27" ht="18.75" x14ac:dyDescent="0.25">
      <c r="A15" s="165" t="s">
        <v>23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</row>
    <row r="19" spans="1:20" x14ac:dyDescent="0.25">
      <c r="A19" s="65"/>
      <c r="B19" s="65"/>
      <c r="C19" s="65"/>
      <c r="D19" s="65"/>
      <c r="E19" s="65"/>
      <c r="F19" s="65"/>
    </row>
    <row r="21" spans="1:20" x14ac:dyDescent="0.25"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</row>
    <row r="22" spans="1:20" x14ac:dyDescent="0.25"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</row>
    <row r="23" spans="1:20" x14ac:dyDescent="0.25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</row>
    <row r="24" spans="1:20" x14ac:dyDescent="0.25"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</row>
    <row r="25" spans="1:20" x14ac:dyDescent="0.25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</row>
    <row r="26" spans="1:20" x14ac:dyDescent="0.25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6"/>
      <c r="T26" s="66"/>
    </row>
    <row r="27" spans="1:20" x14ac:dyDescent="0.25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</row>
    <row r="28" spans="1:20" x14ac:dyDescent="0.25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</row>
    <row r="29" spans="1:20" x14ac:dyDescent="0.25">
      <c r="A29" s="65"/>
      <c r="B29" s="66"/>
      <c r="C29" s="66"/>
      <c r="D29" s="66"/>
      <c r="E29" s="66"/>
      <c r="F29" s="66"/>
      <c r="G29" s="66"/>
    </row>
    <row r="35" spans="1:19" x14ac:dyDescent="0.25">
      <c r="A35" s="167"/>
      <c r="B35" s="167"/>
      <c r="C35" s="167"/>
      <c r="D35" s="167"/>
      <c r="E35" s="167"/>
      <c r="F35" s="167"/>
    </row>
    <row r="37" spans="1:19" x14ac:dyDescent="0.2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</row>
    <row r="44" spans="1:19" x14ac:dyDescent="0.25">
      <c r="A44" s="167"/>
      <c r="B44" s="167"/>
      <c r="C44" s="167"/>
      <c r="D44" s="167"/>
      <c r="E44" s="167"/>
      <c r="F44" s="167"/>
    </row>
    <row r="46" spans="1:19" x14ac:dyDescent="0.2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</row>
  </sheetData>
  <mergeCells count="5">
    <mergeCell ref="A15:S15"/>
    <mergeCell ref="A35:F35"/>
    <mergeCell ref="A44:F44"/>
    <mergeCell ref="B2:Z2"/>
    <mergeCell ref="B3:Z3"/>
  </mergeCells>
  <hyperlinks>
    <hyperlink ref="A1" location="'Содержание'!A1" display="К содержанию"/>
  </hyperlink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zoomScale="85" zoomScaleNormal="85" workbookViewId="0">
      <selection activeCell="A2" sqref="A2"/>
    </sheetView>
  </sheetViews>
  <sheetFormatPr defaultRowHeight="15" x14ac:dyDescent="0.25"/>
  <sheetData>
    <row r="1" spans="1:1" s="111" customFormat="1" x14ac:dyDescent="0.25">
      <c r="A1" s="112" t="s">
        <v>62</v>
      </c>
    </row>
    <row r="36" spans="1:19" ht="18.75" x14ac:dyDescent="0.25">
      <c r="A36" s="165" t="s">
        <v>23</v>
      </c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</row>
  </sheetData>
  <mergeCells count="1">
    <mergeCell ref="A36:S36"/>
  </mergeCells>
  <hyperlinks>
    <hyperlink ref="A1" location="'Содержание'!A1" display="К содержанию"/>
  </hyperlink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0"/>
  <sheetViews>
    <sheetView tabSelected="1" zoomScale="90" workbookViewId="0">
      <selection activeCell="D4" sqref="D4"/>
    </sheetView>
  </sheetViews>
  <sheetFormatPr defaultRowHeight="15" x14ac:dyDescent="0.25"/>
  <cols>
    <col min="1" max="1" width="23.7109375" style="68" customWidth="1"/>
    <col min="2" max="2" width="20.7109375" style="68" customWidth="1"/>
    <col min="3" max="14" width="10.7109375" style="68" customWidth="1"/>
  </cols>
  <sheetData>
    <row r="1" spans="1:14" s="111" customFormat="1" ht="15" customHeight="1" x14ac:dyDescent="0.25">
      <c r="A1" s="120" t="s">
        <v>62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spans="1:14" ht="20.100000000000001" customHeight="1" x14ac:dyDescent="0.25">
      <c r="A2" s="176" t="s">
        <v>33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5" customHeight="1" x14ac:dyDescent="0.2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71" t="s">
        <v>34</v>
      </c>
      <c r="N3" s="171"/>
    </row>
    <row r="4" spans="1:14" ht="15" customHeight="1" x14ac:dyDescent="0.25">
      <c r="A4" s="69"/>
      <c r="B4" s="70"/>
      <c r="C4" s="177" t="s">
        <v>35</v>
      </c>
      <c r="D4" s="177" t="s">
        <v>36</v>
      </c>
      <c r="E4" s="177" t="s">
        <v>37</v>
      </c>
      <c r="F4" s="177" t="s">
        <v>38</v>
      </c>
      <c r="G4" s="177" t="s">
        <v>39</v>
      </c>
      <c r="H4" s="177" t="s">
        <v>40</v>
      </c>
      <c r="I4" s="177" t="s">
        <v>41</v>
      </c>
      <c r="J4" s="177" t="s">
        <v>42</v>
      </c>
      <c r="K4" s="177" t="s">
        <v>43</v>
      </c>
      <c r="L4" s="177" t="s">
        <v>44</v>
      </c>
      <c r="M4" s="177" t="s">
        <v>45</v>
      </c>
      <c r="N4" s="177" t="s">
        <v>46</v>
      </c>
    </row>
    <row r="5" spans="1:14" ht="15" customHeight="1" x14ac:dyDescent="0.25">
      <c r="A5" s="69"/>
      <c r="B5" s="70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</row>
    <row r="6" spans="1:14" ht="15" customHeight="1" x14ac:dyDescent="0.25">
      <c r="A6" s="172" t="s">
        <v>47</v>
      </c>
      <c r="B6" s="73">
        <v>2024</v>
      </c>
      <c r="C6" s="74">
        <f t="shared" ref="C6:C7" si="0">C14+C18+C22+C26+C30</f>
        <v>771920</v>
      </c>
      <c r="D6" s="75">
        <f t="shared" ref="D6:N7" si="1">D14+D18+D22+D26+D30</f>
        <v>817511.8</v>
      </c>
      <c r="E6" s="75">
        <f t="shared" si="1"/>
        <v>884402.5</v>
      </c>
      <c r="F6" s="75">
        <f t="shared" si="1"/>
        <v>899512.7</v>
      </c>
      <c r="G6" s="75">
        <f t="shared" si="1"/>
        <v>892736.50000000012</v>
      </c>
      <c r="H6" s="75">
        <f t="shared" si="1"/>
        <v>846863.8</v>
      </c>
      <c r="I6" s="75">
        <f t="shared" si="1"/>
        <v>835836.2</v>
      </c>
      <c r="J6" s="75">
        <f t="shared" si="1"/>
        <v>837819.9</v>
      </c>
      <c r="K6" s="75">
        <f t="shared" si="1"/>
        <v>883457.39999999991</v>
      </c>
      <c r="L6" s="75">
        <f t="shared" si="1"/>
        <v>927779.6</v>
      </c>
      <c r="M6" s="75">
        <f t="shared" si="1"/>
        <v>884673.50000000012</v>
      </c>
      <c r="N6" s="76">
        <f t="shared" si="1"/>
        <v>895027.60000000009</v>
      </c>
    </row>
    <row r="7" spans="1:14" s="77" customFormat="1" ht="15" customHeight="1" x14ac:dyDescent="0.25">
      <c r="A7" s="173"/>
      <c r="B7" s="73">
        <v>2025</v>
      </c>
      <c r="C7" s="134">
        <f t="shared" si="0"/>
        <v>784852.4</v>
      </c>
      <c r="D7" s="78">
        <f t="shared" si="1"/>
        <v>804200.5</v>
      </c>
      <c r="E7" s="78">
        <f t="shared" si="1"/>
        <v>892715.1</v>
      </c>
      <c r="F7" s="78">
        <f t="shared" si="1"/>
        <v>908014.9</v>
      </c>
      <c r="G7" s="78">
        <f t="shared" si="1"/>
        <v>880193.2</v>
      </c>
      <c r="H7" s="78">
        <f t="shared" si="1"/>
        <v>837062.8</v>
      </c>
      <c r="I7" s="78">
        <f t="shared" si="1"/>
        <v>838347.20000000007</v>
      </c>
      <c r="J7" s="78">
        <f t="shared" si="1"/>
        <v>824978.99999999988</v>
      </c>
      <c r="K7" s="78">
        <f t="shared" si="1"/>
        <v>890886.4</v>
      </c>
      <c r="L7" s="78">
        <f t="shared" ref="L7:N7" si="2">L15+L19+L23+L27+L31</f>
        <v>925607.50000000012</v>
      </c>
      <c r="M7" s="78">
        <f t="shared" si="2"/>
        <v>879935.49999999988</v>
      </c>
      <c r="N7" s="79">
        <f t="shared" si="2"/>
        <v>892752.10000000009</v>
      </c>
    </row>
    <row r="8" spans="1:14" ht="15" customHeight="1" x14ac:dyDescent="0.25">
      <c r="A8" s="173"/>
      <c r="B8" s="80" t="s">
        <v>48</v>
      </c>
      <c r="C8" s="81">
        <f>C7/C6*100</f>
        <v>101.67535495906313</v>
      </c>
      <c r="D8" s="82">
        <f t="shared" ref="D8:N8" si="3">D7/D6*100</f>
        <v>98.371729924876917</v>
      </c>
      <c r="E8" s="82">
        <f t="shared" si="3"/>
        <v>100.9399114091152</v>
      </c>
      <c r="F8" s="82">
        <f t="shared" si="3"/>
        <v>100.94520066253652</v>
      </c>
      <c r="G8" s="82">
        <f t="shared" si="3"/>
        <v>98.594960551069647</v>
      </c>
      <c r="H8" s="82">
        <f t="shared" si="3"/>
        <v>98.842671041081218</v>
      </c>
      <c r="I8" s="82">
        <f t="shared" si="3"/>
        <v>100.30041771342282</v>
      </c>
      <c r="J8" s="82">
        <f t="shared" si="3"/>
        <v>98.467343637934576</v>
      </c>
      <c r="K8" s="82">
        <f t="shared" si="3"/>
        <v>100.84090076103274</v>
      </c>
      <c r="L8" s="82">
        <f t="shared" si="3"/>
        <v>99.765881896950532</v>
      </c>
      <c r="M8" s="82">
        <f t="shared" si="3"/>
        <v>99.464435184279822</v>
      </c>
      <c r="N8" s="83">
        <f t="shared" si="3"/>
        <v>99.745762030131814</v>
      </c>
    </row>
    <row r="9" spans="1:14" ht="15" customHeight="1" x14ac:dyDescent="0.25">
      <c r="A9" s="173"/>
      <c r="B9" s="71" t="s">
        <v>49</v>
      </c>
      <c r="C9" s="84">
        <f>C7/N6*100</f>
        <v>87.690301394057556</v>
      </c>
      <c r="D9" s="84">
        <f>D7/C7*100</f>
        <v>102.46518963310808</v>
      </c>
      <c r="E9" s="84">
        <f t="shared" ref="E9:K9" si="4">E7/D7*100</f>
        <v>111.00653381836992</v>
      </c>
      <c r="F9" s="84">
        <f t="shared" si="4"/>
        <v>101.71385025300906</v>
      </c>
      <c r="G9" s="84">
        <f t="shared" si="4"/>
        <v>96.935986402866291</v>
      </c>
      <c r="H9" s="84">
        <f t="shared" si="4"/>
        <v>95.099893977822148</v>
      </c>
      <c r="I9" s="84">
        <f t="shared" si="4"/>
        <v>100.15344129496617</v>
      </c>
      <c r="J9" s="84">
        <f t="shared" si="4"/>
        <v>98.405410073535137</v>
      </c>
      <c r="K9" s="84">
        <f t="shared" si="4"/>
        <v>107.98897911340775</v>
      </c>
      <c r="L9" s="84">
        <f>L7/K7*100</f>
        <v>103.89736559004605</v>
      </c>
      <c r="M9" s="84">
        <f>M7/L7*100</f>
        <v>95.065727103550884</v>
      </c>
      <c r="N9" s="85">
        <f>N7/M7*100</f>
        <v>101.45653857583883</v>
      </c>
    </row>
    <row r="10" spans="1:14" ht="15" customHeight="1" x14ac:dyDescent="0.25">
      <c r="A10" s="173"/>
      <c r="B10" s="73">
        <v>2026</v>
      </c>
      <c r="C10" s="144">
        <f t="shared" ref="C10:G10" si="5">C16+C20+C24+C28+C32</f>
        <v>762507</v>
      </c>
      <c r="D10" s="78">
        <f t="shared" si="5"/>
        <v>792494.3</v>
      </c>
      <c r="E10" s="78">
        <f t="shared" si="5"/>
        <v>0</v>
      </c>
      <c r="F10" s="78">
        <f t="shared" si="5"/>
        <v>0</v>
      </c>
      <c r="G10" s="78">
        <f t="shared" si="5"/>
        <v>0</v>
      </c>
      <c r="H10" s="78">
        <f t="shared" ref="H10:M10" si="6">H16+H20+H24+H28+H32</f>
        <v>0</v>
      </c>
      <c r="I10" s="78">
        <f t="shared" si="6"/>
        <v>0</v>
      </c>
      <c r="J10" s="78">
        <f t="shared" si="6"/>
        <v>0</v>
      </c>
      <c r="K10" s="78">
        <f t="shared" si="6"/>
        <v>0</v>
      </c>
      <c r="L10" s="78">
        <f t="shared" si="6"/>
        <v>0</v>
      </c>
      <c r="M10" s="78">
        <f t="shared" si="6"/>
        <v>0</v>
      </c>
      <c r="N10" s="79">
        <f>N16+N20+N24+N28+N32</f>
        <v>0</v>
      </c>
    </row>
    <row r="11" spans="1:14" ht="15" customHeight="1" x14ac:dyDescent="0.25">
      <c r="A11" s="173"/>
      <c r="B11" s="80" t="s">
        <v>48</v>
      </c>
      <c r="C11" s="82">
        <f t="shared" ref="C11:E11" si="7">C10/C7*100</f>
        <v>97.152916905140373</v>
      </c>
      <c r="D11" s="82">
        <f t="shared" si="7"/>
        <v>98.544367977886111</v>
      </c>
      <c r="E11" s="82">
        <f t="shared" si="7"/>
        <v>0</v>
      </c>
      <c r="F11" s="82">
        <f t="shared" ref="F11:I11" si="8">F10/F7*100</f>
        <v>0</v>
      </c>
      <c r="G11" s="82">
        <f t="shared" si="8"/>
        <v>0</v>
      </c>
      <c r="H11" s="82">
        <f t="shared" si="8"/>
        <v>0</v>
      </c>
      <c r="I11" s="82">
        <f t="shared" si="8"/>
        <v>0</v>
      </c>
      <c r="J11" s="82">
        <f t="shared" ref="J11:K11" si="9">J10/J7*100</f>
        <v>0</v>
      </c>
      <c r="K11" s="82">
        <f t="shared" si="9"/>
        <v>0</v>
      </c>
      <c r="L11" s="82">
        <f t="shared" ref="L11:M11" si="10">L10/L7*100</f>
        <v>0</v>
      </c>
      <c r="M11" s="82">
        <f t="shared" si="10"/>
        <v>0</v>
      </c>
      <c r="N11" s="83">
        <f>N10/N7*100</f>
        <v>0</v>
      </c>
    </row>
    <row r="12" spans="1:14" ht="15" customHeight="1" x14ac:dyDescent="0.25">
      <c r="A12" s="174"/>
      <c r="B12" s="71" t="s">
        <v>49</v>
      </c>
      <c r="C12" s="86">
        <f>C10/N7*100</f>
        <v>85.410832413611786</v>
      </c>
      <c r="D12" s="86">
        <f>IFERROR(D10/C10*100,0)</f>
        <v>103.9327245520369</v>
      </c>
      <c r="E12" s="86">
        <f t="shared" ref="E12:N12" si="11">IFERROR(E10/D10*100,0)</f>
        <v>0</v>
      </c>
      <c r="F12" s="86">
        <f t="shared" si="11"/>
        <v>0</v>
      </c>
      <c r="G12" s="86">
        <f t="shared" si="11"/>
        <v>0</v>
      </c>
      <c r="H12" s="86">
        <f t="shared" si="11"/>
        <v>0</v>
      </c>
      <c r="I12" s="86">
        <f t="shared" si="11"/>
        <v>0</v>
      </c>
      <c r="J12" s="86">
        <f t="shared" si="11"/>
        <v>0</v>
      </c>
      <c r="K12" s="86">
        <f t="shared" si="11"/>
        <v>0</v>
      </c>
      <c r="L12" s="86">
        <f t="shared" si="11"/>
        <v>0</v>
      </c>
      <c r="M12" s="86">
        <f t="shared" si="11"/>
        <v>0</v>
      </c>
      <c r="N12" s="87">
        <f t="shared" si="11"/>
        <v>0</v>
      </c>
    </row>
    <row r="13" spans="1:14" ht="9.9499999999999993" customHeight="1" x14ac:dyDescent="0.25">
      <c r="A13" s="88" t="s">
        <v>14</v>
      </c>
      <c r="B13" s="89"/>
      <c r="C13" s="90"/>
      <c r="D13" s="90"/>
      <c r="E13" s="90"/>
      <c r="F13" s="90"/>
      <c r="G13" s="90"/>
      <c r="H13" s="90"/>
      <c r="I13" s="90"/>
      <c r="J13" s="90"/>
      <c r="K13" s="90"/>
      <c r="L13" s="91"/>
      <c r="M13" s="91"/>
      <c r="N13" s="92"/>
    </row>
    <row r="14" spans="1:14" ht="15" customHeight="1" x14ac:dyDescent="0.25">
      <c r="A14" s="93" t="s">
        <v>15</v>
      </c>
      <c r="B14" s="94">
        <v>2024</v>
      </c>
      <c r="C14" s="95">
        <v>89254.5</v>
      </c>
      <c r="D14" s="95">
        <v>93069</v>
      </c>
      <c r="E14" s="95">
        <v>102373.1</v>
      </c>
      <c r="F14" s="95">
        <v>105187</v>
      </c>
      <c r="G14" s="95">
        <v>109984.9</v>
      </c>
      <c r="H14" s="95">
        <v>115276.5</v>
      </c>
      <c r="I14" s="95">
        <v>119456.2</v>
      </c>
      <c r="J14" s="95">
        <v>117910.5</v>
      </c>
      <c r="K14" s="95">
        <v>115291.1</v>
      </c>
      <c r="L14" s="95">
        <v>114992.6</v>
      </c>
      <c r="M14" s="95">
        <v>106584.8</v>
      </c>
      <c r="N14" s="96">
        <v>105654.2</v>
      </c>
    </row>
    <row r="15" spans="1:14" ht="15" customHeight="1" x14ac:dyDescent="0.25">
      <c r="A15" s="93"/>
      <c r="B15" s="94">
        <v>2025</v>
      </c>
      <c r="C15" s="133">
        <v>93622.6</v>
      </c>
      <c r="D15" s="133">
        <v>92273.2</v>
      </c>
      <c r="E15" s="133">
        <v>106128.8</v>
      </c>
      <c r="F15" s="133">
        <v>106243.8</v>
      </c>
      <c r="G15" s="133">
        <v>117155.6</v>
      </c>
      <c r="H15" s="133">
        <v>111517</v>
      </c>
      <c r="I15" s="133">
        <v>125068</v>
      </c>
      <c r="J15" s="133">
        <v>116887.1</v>
      </c>
      <c r="K15" s="133">
        <v>116040.5</v>
      </c>
      <c r="L15" s="133">
        <v>108620.9</v>
      </c>
      <c r="M15" s="133">
        <v>119257.1</v>
      </c>
      <c r="N15" s="96">
        <v>107834.1</v>
      </c>
    </row>
    <row r="16" spans="1:14" ht="15" customHeight="1" x14ac:dyDescent="0.25">
      <c r="A16" s="93"/>
      <c r="B16" s="94">
        <v>2026</v>
      </c>
      <c r="C16" s="143">
        <v>94487.2</v>
      </c>
      <c r="D16" s="133">
        <v>91149.3</v>
      </c>
      <c r="E16" s="133"/>
      <c r="F16" s="133"/>
      <c r="G16" s="133"/>
      <c r="H16" s="133"/>
      <c r="I16" s="133"/>
      <c r="J16" s="133"/>
      <c r="K16" s="133"/>
      <c r="L16" s="133"/>
      <c r="M16" s="133"/>
      <c r="N16" s="141"/>
    </row>
    <row r="17" spans="1:14" ht="15" customHeight="1" x14ac:dyDescent="0.25">
      <c r="A17" s="93"/>
      <c r="B17" s="97"/>
      <c r="C17" s="95"/>
      <c r="D17" s="95"/>
      <c r="E17" s="95"/>
      <c r="F17" s="95"/>
      <c r="G17" s="98"/>
      <c r="H17" s="98"/>
      <c r="I17" s="95"/>
      <c r="J17" s="98"/>
      <c r="K17" s="98"/>
      <c r="L17" s="99"/>
      <c r="M17" s="99"/>
      <c r="N17" s="100"/>
    </row>
    <row r="18" spans="1:14" ht="15" customHeight="1" x14ac:dyDescent="0.25">
      <c r="A18" s="93" t="s">
        <v>50</v>
      </c>
      <c r="B18" s="94">
        <v>2024</v>
      </c>
      <c r="C18" s="95">
        <v>674680.6</v>
      </c>
      <c r="D18" s="95">
        <v>717082.6</v>
      </c>
      <c r="E18" s="95">
        <v>773830.8</v>
      </c>
      <c r="F18" s="95">
        <v>785651.19999999995</v>
      </c>
      <c r="G18" s="95">
        <v>772268</v>
      </c>
      <c r="H18" s="95">
        <v>719164.5</v>
      </c>
      <c r="I18" s="95">
        <v>701867.9</v>
      </c>
      <c r="J18" s="95">
        <v>705249.1</v>
      </c>
      <c r="K18" s="95">
        <v>755804.1</v>
      </c>
      <c r="L18" s="95">
        <v>801542</v>
      </c>
      <c r="M18" s="95">
        <v>769222.4</v>
      </c>
      <c r="N18" s="96">
        <v>780846.9</v>
      </c>
    </row>
    <row r="19" spans="1:14" ht="15" customHeight="1" x14ac:dyDescent="0.25">
      <c r="A19" s="93"/>
      <c r="B19" s="94">
        <v>2025</v>
      </c>
      <c r="C19" s="133">
        <v>682937.1</v>
      </c>
      <c r="D19" s="133">
        <v>704598.3</v>
      </c>
      <c r="E19" s="133">
        <v>777807</v>
      </c>
      <c r="F19" s="133">
        <v>792478.4</v>
      </c>
      <c r="G19" s="133">
        <v>752092.4</v>
      </c>
      <c r="H19" s="133">
        <v>712629.3</v>
      </c>
      <c r="I19" s="133">
        <v>698833.6</v>
      </c>
      <c r="J19" s="133">
        <v>693325.7</v>
      </c>
      <c r="K19" s="133">
        <v>762678.6</v>
      </c>
      <c r="L19" s="133">
        <v>806468.3</v>
      </c>
      <c r="M19" s="133">
        <v>751820</v>
      </c>
      <c r="N19" s="135">
        <v>776471.8</v>
      </c>
    </row>
    <row r="20" spans="1:14" ht="15" customHeight="1" x14ac:dyDescent="0.25">
      <c r="A20" s="93"/>
      <c r="B20" s="94">
        <v>2026</v>
      </c>
      <c r="C20" s="143">
        <v>659657.9</v>
      </c>
      <c r="D20" s="133">
        <v>694087.3</v>
      </c>
      <c r="E20" s="133"/>
      <c r="F20" s="133"/>
      <c r="G20" s="133"/>
      <c r="H20" s="133"/>
      <c r="I20" s="133"/>
      <c r="J20" s="133"/>
      <c r="K20" s="133"/>
      <c r="L20" s="133"/>
      <c r="M20" s="133"/>
      <c r="N20" s="135"/>
    </row>
    <row r="21" spans="1:14" ht="15" customHeight="1" x14ac:dyDescent="0.25">
      <c r="A21" s="93"/>
      <c r="B21" s="97"/>
      <c r="C21" s="95"/>
      <c r="D21" s="95"/>
      <c r="E21" s="95"/>
      <c r="F21" s="95"/>
      <c r="G21" s="95"/>
      <c r="H21" s="95"/>
      <c r="I21" s="95"/>
      <c r="J21" s="95"/>
      <c r="K21" s="95"/>
      <c r="L21" s="101"/>
      <c r="M21" s="101"/>
      <c r="N21" s="102"/>
    </row>
    <row r="22" spans="1:14" ht="15" customHeight="1" x14ac:dyDescent="0.25">
      <c r="A22" s="93" t="s">
        <v>51</v>
      </c>
      <c r="B22" s="94" t="s">
        <v>65</v>
      </c>
      <c r="C22" s="133">
        <v>100.8</v>
      </c>
      <c r="D22" s="133">
        <v>106.1</v>
      </c>
      <c r="E22" s="133">
        <v>135.9</v>
      </c>
      <c r="F22" s="133">
        <v>343.3</v>
      </c>
      <c r="G22" s="133">
        <v>1084</v>
      </c>
      <c r="H22" s="133">
        <v>1562.4</v>
      </c>
      <c r="I22" s="133">
        <v>2224.1999999999998</v>
      </c>
      <c r="J22" s="133">
        <v>2231.9</v>
      </c>
      <c r="K22" s="133">
        <v>1439.2</v>
      </c>
      <c r="L22" s="133">
        <v>1580.8</v>
      </c>
      <c r="M22" s="133">
        <v>846.8</v>
      </c>
      <c r="N22" s="135">
        <v>430.4</v>
      </c>
    </row>
    <row r="23" spans="1:14" s="77" customFormat="1" ht="15" customHeight="1" x14ac:dyDescent="0.25">
      <c r="A23" s="93"/>
      <c r="B23" s="94" t="s">
        <v>52</v>
      </c>
      <c r="C23" s="133">
        <v>104.1</v>
      </c>
      <c r="D23" s="133">
        <v>97.6</v>
      </c>
      <c r="E23" s="133">
        <v>439.6</v>
      </c>
      <c r="F23" s="95">
        <v>473.7</v>
      </c>
      <c r="G23" s="95">
        <v>1316.9</v>
      </c>
      <c r="H23" s="95">
        <v>2008.3</v>
      </c>
      <c r="I23" s="95">
        <v>2476.3000000000002</v>
      </c>
      <c r="J23" s="133">
        <v>2555.6999999999998</v>
      </c>
      <c r="K23" s="95">
        <v>1638.5999999999985</v>
      </c>
      <c r="L23" s="95">
        <v>901.30000000000109</v>
      </c>
      <c r="M23" s="95">
        <v>587.5</v>
      </c>
      <c r="N23" s="96">
        <v>258.89999999999998</v>
      </c>
    </row>
    <row r="24" spans="1:14" s="77" customFormat="1" ht="15" customHeight="1" x14ac:dyDescent="0.25">
      <c r="A24" s="93"/>
      <c r="B24" s="94" t="s">
        <v>66</v>
      </c>
      <c r="C24" s="143">
        <v>182.4</v>
      </c>
      <c r="D24" s="133">
        <v>131.6</v>
      </c>
      <c r="E24" s="133"/>
      <c r="F24" s="95"/>
      <c r="G24" s="95"/>
      <c r="H24" s="95"/>
      <c r="I24" s="95"/>
      <c r="J24" s="133"/>
      <c r="K24" s="95"/>
      <c r="L24" s="95"/>
      <c r="M24" s="95"/>
      <c r="N24" s="96"/>
    </row>
    <row r="25" spans="1:14" s="77" customFormat="1" ht="15" customHeight="1" x14ac:dyDescent="0.25">
      <c r="A25" s="93"/>
      <c r="B25" s="97"/>
      <c r="C25" s="68"/>
      <c r="D25" s="95"/>
      <c r="E25" s="68"/>
      <c r="F25" s="68"/>
      <c r="G25" s="68"/>
      <c r="H25" s="68"/>
      <c r="I25" s="68"/>
      <c r="J25" s="68"/>
      <c r="K25" s="68"/>
      <c r="L25" s="103"/>
      <c r="M25" s="104"/>
      <c r="N25" s="105"/>
    </row>
    <row r="26" spans="1:14" s="77" customFormat="1" ht="15" customHeight="1" x14ac:dyDescent="0.25">
      <c r="A26" s="93" t="s">
        <v>53</v>
      </c>
      <c r="B26" s="94" t="s">
        <v>65</v>
      </c>
      <c r="C26" s="95">
        <v>47.7</v>
      </c>
      <c r="D26" s="95">
        <v>81.3</v>
      </c>
      <c r="E26" s="95">
        <v>106.6</v>
      </c>
      <c r="F26" s="95">
        <v>115</v>
      </c>
      <c r="G26" s="95">
        <v>114.8</v>
      </c>
      <c r="H26" s="95">
        <v>137.30000000000001</v>
      </c>
      <c r="I26" s="133">
        <v>225.9</v>
      </c>
      <c r="J26" s="133">
        <v>254</v>
      </c>
      <c r="K26" s="133">
        <v>184</v>
      </c>
      <c r="L26" s="133">
        <v>125.5</v>
      </c>
      <c r="M26" s="133">
        <v>92.3</v>
      </c>
      <c r="N26" s="96">
        <v>76.3</v>
      </c>
    </row>
    <row r="27" spans="1:14" s="77" customFormat="1" ht="15" customHeight="1" x14ac:dyDescent="0.25">
      <c r="A27" s="93"/>
      <c r="B27" s="94" t="s">
        <v>52</v>
      </c>
      <c r="C27" s="95">
        <v>338.8</v>
      </c>
      <c r="D27" s="95">
        <v>305</v>
      </c>
      <c r="E27" s="95">
        <v>378</v>
      </c>
      <c r="F27" s="95">
        <v>378</v>
      </c>
      <c r="G27" s="133">
        <v>422.7</v>
      </c>
      <c r="H27" s="133">
        <v>498.2</v>
      </c>
      <c r="I27" s="133">
        <v>611.9</v>
      </c>
      <c r="J27" s="133">
        <v>625</v>
      </c>
      <c r="K27" s="133">
        <v>474.80000000000018</v>
      </c>
      <c r="L27" s="133">
        <v>360.59999999999991</v>
      </c>
      <c r="M27" s="133">
        <v>358.69999999999982</v>
      </c>
      <c r="N27" s="135">
        <v>292.5</v>
      </c>
    </row>
    <row r="28" spans="1:14" ht="15" customHeight="1" x14ac:dyDescent="0.25">
      <c r="A28" s="93"/>
      <c r="B28" s="94" t="s">
        <v>66</v>
      </c>
      <c r="C28" s="95">
        <v>236.9</v>
      </c>
      <c r="D28" s="133">
        <v>249.6</v>
      </c>
      <c r="E28" s="95"/>
      <c r="F28" s="95"/>
      <c r="G28" s="133"/>
      <c r="H28" s="133"/>
      <c r="I28" s="133"/>
      <c r="J28" s="133"/>
      <c r="K28" s="133"/>
      <c r="L28" s="133"/>
      <c r="M28" s="133"/>
      <c r="N28" s="135"/>
    </row>
    <row r="29" spans="1:14" ht="15" customHeight="1" x14ac:dyDescent="0.25">
      <c r="A29" s="93"/>
      <c r="B29" s="97"/>
      <c r="C29" s="95"/>
      <c r="D29" s="95"/>
      <c r="E29" s="95"/>
      <c r="F29" s="95"/>
      <c r="G29" s="95"/>
      <c r="H29" s="95"/>
      <c r="I29" s="95"/>
      <c r="J29" s="95"/>
      <c r="K29" s="95"/>
      <c r="L29" s="101"/>
      <c r="M29" s="101"/>
      <c r="N29" s="102"/>
    </row>
    <row r="30" spans="1:14" ht="15" customHeight="1" x14ac:dyDescent="0.25">
      <c r="A30" s="93" t="s">
        <v>54</v>
      </c>
      <c r="B30" s="94">
        <v>2024</v>
      </c>
      <c r="C30" s="95">
        <v>7836.4</v>
      </c>
      <c r="D30" s="95">
        <v>7172.8</v>
      </c>
      <c r="E30" s="95">
        <v>7956.1</v>
      </c>
      <c r="F30" s="95">
        <v>8216.2000000000007</v>
      </c>
      <c r="G30" s="95">
        <v>9284.7999999999993</v>
      </c>
      <c r="H30" s="95">
        <v>10723.1</v>
      </c>
      <c r="I30" s="95">
        <v>12062</v>
      </c>
      <c r="J30" s="95">
        <v>12174.4</v>
      </c>
      <c r="K30" s="95">
        <v>10739</v>
      </c>
      <c r="L30" s="95">
        <v>9538.7000000000007</v>
      </c>
      <c r="M30" s="95">
        <v>7927.2</v>
      </c>
      <c r="N30" s="96">
        <v>8019.8</v>
      </c>
    </row>
    <row r="31" spans="1:14" ht="15" customHeight="1" x14ac:dyDescent="0.25">
      <c r="A31" s="93" t="s">
        <v>55</v>
      </c>
      <c r="B31" s="94">
        <v>2025</v>
      </c>
      <c r="C31" s="133">
        <v>7849.8</v>
      </c>
      <c r="D31" s="133">
        <v>6926.4</v>
      </c>
      <c r="E31" s="133">
        <v>7961.7</v>
      </c>
      <c r="F31" s="133">
        <v>8441</v>
      </c>
      <c r="G31" s="133">
        <v>9205.6</v>
      </c>
      <c r="H31" s="133">
        <v>10410</v>
      </c>
      <c r="I31" s="133">
        <v>11357.4</v>
      </c>
      <c r="J31" s="133">
        <v>11585.5</v>
      </c>
      <c r="K31" s="133">
        <v>10053.9</v>
      </c>
      <c r="L31" s="133">
        <v>9256.4</v>
      </c>
      <c r="M31" s="133">
        <v>7912.2</v>
      </c>
      <c r="N31" s="96">
        <v>7894.8</v>
      </c>
    </row>
    <row r="32" spans="1:14" ht="15" customHeight="1" x14ac:dyDescent="0.25">
      <c r="A32" s="106"/>
      <c r="B32" s="107">
        <v>2026</v>
      </c>
      <c r="C32" s="137">
        <v>7942.6</v>
      </c>
      <c r="D32" s="138">
        <v>6876.5</v>
      </c>
      <c r="E32" s="138"/>
      <c r="F32" s="138"/>
      <c r="G32" s="138"/>
      <c r="H32" s="138"/>
      <c r="I32" s="138"/>
      <c r="J32" s="138"/>
      <c r="K32" s="138"/>
      <c r="L32" s="138"/>
      <c r="M32" s="138"/>
      <c r="N32" s="142"/>
    </row>
    <row r="33" spans="1:14" x14ac:dyDescent="0.25">
      <c r="A33" s="108"/>
      <c r="B33" s="72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x14ac:dyDescent="0.25">
      <c r="A34" s="175" t="s">
        <v>56</v>
      </c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</row>
    <row r="35" spans="1:14" ht="16.5" x14ac:dyDescent="0.25">
      <c r="A35" s="170" t="s">
        <v>57</v>
      </c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</row>
    <row r="36" spans="1:14" ht="15.75" x14ac:dyDescent="0.25">
      <c r="A36" s="110" t="s">
        <v>58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</row>
    <row r="37" spans="1:14" ht="16.5" x14ac:dyDescent="0.25">
      <c r="A37" s="140" t="s">
        <v>59</v>
      </c>
    </row>
    <row r="38" spans="1:14" ht="16.5" x14ac:dyDescent="0.25">
      <c r="A38" s="68" t="s">
        <v>60</v>
      </c>
    </row>
    <row r="39" spans="1:14" x14ac:dyDescent="0.25">
      <c r="C39" s="133"/>
      <c r="D39" s="133"/>
      <c r="E39" s="133"/>
      <c r="F39" s="133"/>
      <c r="G39" s="133"/>
      <c r="H39" s="133"/>
      <c r="I39" s="133"/>
    </row>
    <row r="40" spans="1:14" x14ac:dyDescent="0.25">
      <c r="C40" s="136"/>
      <c r="D40" s="136"/>
      <c r="E40" s="136"/>
      <c r="F40" s="136"/>
      <c r="G40" s="136"/>
      <c r="H40" s="136"/>
      <c r="I40" s="136"/>
    </row>
  </sheetData>
  <mergeCells count="5">
    <mergeCell ref="A35:N35"/>
    <mergeCell ref="A2:N2"/>
    <mergeCell ref="M3:N3"/>
    <mergeCell ref="A6:A12"/>
    <mergeCell ref="A34:N34"/>
  </mergeCells>
  <hyperlinks>
    <hyperlink ref="A1" location="'Содержание'!A1" display="К содержанию"/>
  </hyperlinks>
  <pageMargins left="0.7" right="0.7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Смирнова Татьяна Александровна</cp:lastModifiedBy>
  <cp:revision>1</cp:revision>
  <dcterms:created xsi:type="dcterms:W3CDTF">2006-09-16T00:00:00Z</dcterms:created>
  <dcterms:modified xsi:type="dcterms:W3CDTF">2026-03-27T12:24:31Z</dcterms:modified>
</cp:coreProperties>
</file>