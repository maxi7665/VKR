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ca_ws0722\Общая папка отдела\ИНТЕРНЕТ\Основные показатели транспорта\2026\"/>
    </mc:Choice>
  </mc:AlternateContent>
  <bookViews>
    <workbookView xWindow="0" yWindow="0" windowWidth="24000" windowHeight="9645" activeTab="4"/>
  </bookViews>
  <sheets>
    <sheet name="Содержание" sheetId="1" r:id="rId1"/>
    <sheet name="1" sheetId="2" r:id="rId2"/>
    <sheet name="2" sheetId="3" r:id="rId3"/>
    <sheet name="3" sheetId="4" r:id="rId4"/>
    <sheet name="4" sheetId="5" r:id="rId5"/>
  </sheets>
  <calcPr calcId="162913"/>
</workbook>
</file>

<file path=xl/calcChain.xml><?xml version="1.0" encoding="utf-8"?>
<calcChain xmlns="http://schemas.openxmlformats.org/spreadsheetml/2006/main">
  <c r="Z7" i="3" l="1"/>
  <c r="N24" i="5" l="1"/>
  <c r="M24" i="5"/>
  <c r="L24" i="5"/>
  <c r="K24" i="5"/>
  <c r="J24" i="5"/>
  <c r="I24" i="5"/>
  <c r="H24" i="5"/>
  <c r="G24" i="5"/>
  <c r="F24" i="5"/>
  <c r="E24" i="5"/>
  <c r="D24" i="5"/>
  <c r="C24" i="5"/>
  <c r="N21" i="5"/>
  <c r="M21" i="5"/>
  <c r="L21" i="5"/>
  <c r="K21" i="5"/>
  <c r="J21" i="5"/>
  <c r="I21" i="5"/>
  <c r="H21" i="5"/>
  <c r="G21" i="5"/>
  <c r="F21" i="5"/>
  <c r="E21" i="5"/>
  <c r="D21" i="5"/>
  <c r="C21" i="5"/>
  <c r="N20" i="5"/>
  <c r="M20" i="5"/>
  <c r="L20" i="5"/>
  <c r="K20" i="5"/>
  <c r="J20" i="5"/>
  <c r="I20" i="5"/>
  <c r="H20" i="5"/>
  <c r="G20" i="5"/>
  <c r="F20" i="5"/>
  <c r="E20" i="5"/>
  <c r="D20" i="5"/>
  <c r="C20" i="5"/>
  <c r="N17" i="5"/>
  <c r="M17" i="5"/>
  <c r="L17" i="5"/>
  <c r="K17" i="5"/>
  <c r="J17" i="5"/>
  <c r="I17" i="5"/>
  <c r="H17" i="5"/>
  <c r="G17" i="5"/>
  <c r="F17" i="5"/>
  <c r="E17" i="5"/>
  <c r="D17" i="5"/>
  <c r="C17" i="5"/>
  <c r="N14" i="5"/>
  <c r="M14" i="5"/>
  <c r="L14" i="5"/>
  <c r="K14" i="5"/>
  <c r="J14" i="5"/>
  <c r="I14" i="5"/>
  <c r="H14" i="5"/>
  <c r="G14" i="5"/>
  <c r="F14" i="5"/>
  <c r="E14" i="5"/>
  <c r="D14" i="5"/>
  <c r="C14" i="5"/>
  <c r="N13" i="5"/>
  <c r="M13" i="5"/>
  <c r="L13" i="5"/>
  <c r="K13" i="5"/>
  <c r="J13" i="5"/>
  <c r="I13" i="5"/>
  <c r="H13" i="5"/>
  <c r="G13" i="5"/>
  <c r="F13" i="5"/>
  <c r="E13" i="5"/>
  <c r="D13" i="5"/>
  <c r="C13" i="5"/>
  <c r="N10" i="5"/>
  <c r="M10" i="5"/>
  <c r="L10" i="5"/>
  <c r="K10" i="5"/>
  <c r="J10" i="5"/>
  <c r="I10" i="5"/>
  <c r="H10" i="5"/>
  <c r="G10" i="5"/>
  <c r="F10" i="5"/>
  <c r="E10" i="5"/>
  <c r="D10" i="5"/>
  <c r="C10" i="5"/>
  <c r="N7" i="5"/>
  <c r="M7" i="5"/>
  <c r="L7" i="5"/>
  <c r="K7" i="5"/>
  <c r="J7" i="5"/>
  <c r="I7" i="5"/>
  <c r="H7" i="5"/>
  <c r="G7" i="5"/>
  <c r="F7" i="5"/>
  <c r="E7" i="5"/>
  <c r="D7" i="5"/>
  <c r="C7" i="5"/>
  <c r="N6" i="5"/>
  <c r="M6" i="5"/>
  <c r="L6" i="5"/>
  <c r="K6" i="5"/>
  <c r="J6" i="5"/>
  <c r="I6" i="5"/>
  <c r="H6" i="5"/>
  <c r="G6" i="5"/>
  <c r="F6" i="5"/>
  <c r="E6" i="5"/>
  <c r="D6" i="5"/>
  <c r="C6" i="5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F9" i="5" l="1"/>
  <c r="J9" i="5"/>
  <c r="N9" i="5"/>
  <c r="J12" i="5"/>
  <c r="N12" i="5"/>
  <c r="F16" i="5"/>
  <c r="J16" i="5"/>
  <c r="N16" i="5"/>
  <c r="J19" i="5"/>
  <c r="N19" i="5"/>
  <c r="F23" i="5"/>
  <c r="J23" i="5"/>
  <c r="N23" i="5"/>
  <c r="J26" i="5"/>
  <c r="N26" i="5"/>
  <c r="F12" i="5"/>
  <c r="F19" i="5"/>
  <c r="F26" i="5"/>
  <c r="C9" i="5"/>
  <c r="G12" i="5"/>
  <c r="K12" i="5"/>
  <c r="C16" i="5"/>
  <c r="G16" i="5"/>
  <c r="K16" i="5"/>
  <c r="G19" i="5"/>
  <c r="K19" i="5"/>
  <c r="C23" i="5"/>
  <c r="G26" i="5"/>
  <c r="K26" i="5"/>
  <c r="E12" i="5"/>
  <c r="I12" i="5"/>
  <c r="M12" i="5"/>
  <c r="E19" i="5"/>
  <c r="I19" i="5"/>
  <c r="M19" i="5"/>
  <c r="E26" i="5"/>
  <c r="I26" i="5"/>
  <c r="M26" i="5"/>
  <c r="D12" i="5"/>
  <c r="H12" i="5"/>
  <c r="L12" i="5"/>
  <c r="D19" i="5"/>
  <c r="H19" i="5"/>
  <c r="L19" i="5"/>
  <c r="L23" i="5"/>
  <c r="D26" i="5"/>
  <c r="H26" i="5"/>
  <c r="L26" i="5"/>
  <c r="C19" i="5"/>
  <c r="G9" i="5"/>
  <c r="H9" i="5"/>
  <c r="L9" i="5"/>
  <c r="D16" i="5"/>
  <c r="D9" i="5"/>
  <c r="G23" i="5"/>
  <c r="K23" i="5"/>
  <c r="H16" i="5"/>
  <c r="L16" i="5"/>
  <c r="D23" i="5"/>
  <c r="H23" i="5"/>
  <c r="K9" i="5"/>
  <c r="C12" i="5"/>
  <c r="C26" i="5"/>
  <c r="E9" i="5"/>
  <c r="I9" i="5"/>
  <c r="M9" i="5"/>
  <c r="E16" i="5"/>
  <c r="I16" i="5"/>
  <c r="M16" i="5"/>
  <c r="E23" i="5"/>
  <c r="I23" i="5"/>
  <c r="M23" i="5"/>
  <c r="C8" i="5"/>
  <c r="G8" i="5"/>
  <c r="K8" i="5"/>
  <c r="C11" i="5"/>
  <c r="G11" i="5"/>
  <c r="K11" i="5"/>
  <c r="C15" i="5"/>
  <c r="G15" i="5"/>
  <c r="K15" i="5"/>
  <c r="C18" i="5"/>
  <c r="G18" i="5"/>
  <c r="K18" i="5"/>
  <c r="C22" i="5"/>
  <c r="G22" i="5"/>
  <c r="K22" i="5"/>
  <c r="C25" i="5"/>
  <c r="G25" i="5"/>
  <c r="K25" i="5"/>
  <c r="D8" i="5"/>
  <c r="H8" i="5"/>
  <c r="L8" i="5"/>
  <c r="D11" i="5"/>
  <c r="H11" i="5"/>
  <c r="L11" i="5"/>
  <c r="D15" i="5"/>
  <c r="H15" i="5"/>
  <c r="L15" i="5"/>
  <c r="D18" i="5"/>
  <c r="H18" i="5"/>
  <c r="L18" i="5"/>
  <c r="D22" i="5"/>
  <c r="H22" i="5"/>
  <c r="L22" i="5"/>
  <c r="D25" i="5"/>
  <c r="H25" i="5"/>
  <c r="L25" i="5"/>
  <c r="E8" i="5"/>
  <c r="I8" i="5"/>
  <c r="M8" i="5"/>
  <c r="E11" i="5"/>
  <c r="I11" i="5"/>
  <c r="M11" i="5"/>
  <c r="E15" i="5"/>
  <c r="I15" i="5"/>
  <c r="M15" i="5"/>
  <c r="E18" i="5"/>
  <c r="I18" i="5"/>
  <c r="M18" i="5"/>
  <c r="E22" i="5"/>
  <c r="I22" i="5"/>
  <c r="M22" i="5"/>
  <c r="E25" i="5"/>
  <c r="I25" i="5"/>
  <c r="M25" i="5"/>
  <c r="F8" i="5"/>
  <c r="J8" i="5"/>
  <c r="N8" i="5"/>
  <c r="F11" i="5"/>
  <c r="J11" i="5"/>
  <c r="N11" i="5"/>
  <c r="F15" i="5"/>
  <c r="J15" i="5"/>
  <c r="N15" i="5"/>
  <c r="F18" i="5"/>
  <c r="J18" i="5"/>
  <c r="N18" i="5"/>
  <c r="F22" i="5"/>
  <c r="J22" i="5"/>
  <c r="N22" i="5"/>
  <c r="F25" i="5"/>
  <c r="J25" i="5"/>
  <c r="N25" i="5"/>
</calcChain>
</file>

<file path=xl/sharedStrings.xml><?xml version="1.0" encoding="utf-8"?>
<sst xmlns="http://schemas.openxmlformats.org/spreadsheetml/2006/main" count="105" uniqueCount="74">
  <si>
    <t>Содержание</t>
  </si>
  <si>
    <t>1.</t>
  </si>
  <si>
    <t>2.</t>
  </si>
  <si>
    <t>3.</t>
  </si>
  <si>
    <t>Диаграмма</t>
  </si>
  <si>
    <t>4.</t>
  </si>
  <si>
    <t>Ответственный исполнитель:</t>
  </si>
  <si>
    <t>Смирнова Татьяна Александровна</t>
  </si>
  <si>
    <t>8 (495) 568-00-42 (доб. 99-354)</t>
  </si>
  <si>
    <t>Перевозки грузов по видам транспорта по Российской Федерации</t>
  </si>
  <si>
    <t>(миллион тонн)</t>
  </si>
  <si>
    <r>
      <t>2022</t>
    </r>
    <r>
      <rPr>
        <vertAlign val="superscript"/>
        <sz val="12"/>
        <color indexed="64"/>
        <rFont val="Times New Roman"/>
        <family val="1"/>
        <charset val="204"/>
      </rPr>
      <t>1)</t>
    </r>
  </si>
  <si>
    <r>
      <t>2023</t>
    </r>
    <r>
      <rPr>
        <vertAlign val="superscript"/>
        <sz val="12"/>
        <color indexed="64"/>
        <rFont val="Times New Roman"/>
        <family val="1"/>
        <charset val="204"/>
      </rPr>
      <t>1)</t>
    </r>
  </si>
  <si>
    <t xml:space="preserve">Транспорт - всего </t>
  </si>
  <si>
    <t>в том числе:</t>
  </si>
  <si>
    <t>железнодорожный</t>
  </si>
  <si>
    <t>автомобильный</t>
  </si>
  <si>
    <t>трубопроводный</t>
  </si>
  <si>
    <r>
      <t>морской</t>
    </r>
    <r>
      <rPr>
        <vertAlign val="superscript"/>
        <sz val="12"/>
        <color indexed="64"/>
        <rFont val="Times New Roman"/>
        <family val="1"/>
        <charset val="204"/>
      </rPr>
      <t>2)</t>
    </r>
  </si>
  <si>
    <r>
      <t>внутренний водный</t>
    </r>
    <r>
      <rPr>
        <vertAlign val="superscript"/>
        <sz val="12"/>
        <color indexed="64"/>
        <rFont val="Times New Roman"/>
        <family val="1"/>
        <charset val="204"/>
      </rPr>
      <t>3)</t>
    </r>
  </si>
  <si>
    <r>
      <t>воздушный</t>
    </r>
    <r>
      <rPr>
        <vertAlign val="superscript"/>
        <sz val="12"/>
        <color indexed="64"/>
        <rFont val="Times New Roman"/>
        <family val="1"/>
        <charset val="204"/>
      </rPr>
      <t>4)</t>
    </r>
  </si>
  <si>
    <r>
      <rPr>
        <vertAlign val="superscript"/>
        <sz val="12"/>
        <rFont val="Times New Roman"/>
        <family val="1"/>
        <charset val="204"/>
      </rPr>
      <t>1)</t>
    </r>
    <r>
      <rPr>
        <sz val="12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</si>
  <si>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rPr>
        <vertAlign val="superscript"/>
        <sz val="12"/>
        <color indexed="64"/>
        <rFont val="Times New Roman"/>
        <family val="1"/>
        <charset val="204"/>
      </rPr>
      <t>4)</t>
    </r>
    <r>
      <rPr>
        <sz val="12"/>
        <color indexed="64"/>
        <rFont val="Times New Roman"/>
        <family val="1"/>
        <charset val="204"/>
      </rPr>
      <t xml:space="preserve"> По данным Росавиации.</t>
    </r>
  </si>
  <si>
    <t>В содержание</t>
  </si>
  <si>
    <t>Структура перевозок грузов по видам транспорта по Российской Федерации</t>
  </si>
  <si>
    <t>(процент)</t>
  </si>
  <si>
    <t>воздушный</t>
  </si>
  <si>
    <t>водный транспорт</t>
  </si>
  <si>
    <r>
      <t>Перевозки грузов по видам транспорта</t>
    </r>
    <r>
      <rPr>
        <b/>
        <vertAlign val="superscript"/>
        <sz val="11"/>
        <rFont val="Times New Roman"/>
        <family val="1"/>
        <charset val="204"/>
      </rPr>
      <t>1)2)</t>
    </r>
  </si>
  <si>
    <t>(тыс. тонн)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</si>
  <si>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</si>
  <si>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</si>
  <si>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</si>
  <si>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</si>
  <si>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</si>
  <si>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</si>
  <si>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</si>
  <si>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</si>
  <si>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</si>
  <si>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</si>
  <si>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</si>
  <si>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</si>
  <si>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ВСЕГО</t>
  </si>
  <si>
    <t>в % к прошлому году</t>
  </si>
  <si>
    <t>в % к предыдущему месяцу</t>
  </si>
  <si>
    <t xml:space="preserve"> из них                                        коммерческие</t>
  </si>
  <si>
    <t>из них                                             коммерческие без трубопроводного транспорта</t>
  </si>
  <si>
    <t>(погрузка грузов)</t>
  </si>
  <si>
    <t>автомобильный - всего</t>
  </si>
  <si>
    <t>в том числе</t>
  </si>
  <si>
    <t xml:space="preserve"> на коммерческой основе</t>
  </si>
  <si>
    <t>морской</t>
  </si>
  <si>
    <r>
      <t>2025</t>
    </r>
    <r>
      <rPr>
        <vertAlign val="superscript"/>
        <sz val="9"/>
        <rFont val="Times New Roman"/>
        <family val="1"/>
        <charset val="204"/>
      </rPr>
      <t>3)</t>
    </r>
  </si>
  <si>
    <r>
      <t>внутренний водный</t>
    </r>
    <r>
      <rPr>
        <vertAlign val="superscript"/>
        <sz val="10"/>
        <rFont val="Times New Roman"/>
        <family val="1"/>
        <charset val="204"/>
      </rPr>
      <t>4)</t>
    </r>
  </si>
  <si>
    <r>
      <t>воздушный</t>
    </r>
    <r>
      <rPr>
        <vertAlign val="superscript"/>
        <sz val="10"/>
        <rFont val="Times New Roman"/>
        <family val="1"/>
        <charset val="204"/>
      </rPr>
      <t>5)</t>
    </r>
  </si>
  <si>
    <t>(транспортная авиация)</t>
  </si>
  <si>
    <r>
      <rPr>
        <vertAlign val="superscript"/>
        <sz val="10"/>
        <rFont val="Times New Roman"/>
        <family val="1"/>
        <charset val="204"/>
      </rPr>
      <t>1)</t>
    </r>
    <r>
      <rPr>
        <sz val="10"/>
        <rFont val="Times New Roman"/>
        <family val="1"/>
        <charset val="204"/>
      </rPr>
      <t xml:space="preserve"> Данные изменены в связи с уточнением респондентами ранее предоставленных данных. Изменения выделены красным цветом шрифта.</t>
    </r>
  </si>
  <si>
    <r>
      <rPr>
        <vertAlign val="superscript"/>
        <sz val="10"/>
        <rFont val="Times New Roman"/>
        <family val="1"/>
        <charset val="204"/>
      </rPr>
      <t>2)</t>
    </r>
    <r>
      <rPr>
        <sz val="10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</si>
  <si>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rPr>
        <vertAlign val="superscript"/>
        <sz val="10"/>
        <rFont val="Times New Roman"/>
        <family val="1"/>
        <charset val="204"/>
      </rPr>
      <t>3)</t>
    </r>
    <r>
      <rPr>
        <sz val="10"/>
        <rFont val="Times New Roman"/>
        <family val="1"/>
        <charset val="204"/>
      </rPr>
      <t xml:space="preserve"> По данным Росморречфлота, опубликованным в Единой межведомственной информационно-статистической системе.</t>
    </r>
  </si>
  <si>
    <r>
      <rPr>
        <vertAlign val="superscript"/>
        <sz val="10"/>
        <rFont val="Times New Roman"/>
        <family val="1"/>
        <charset val="204"/>
      </rPr>
      <t>4)</t>
    </r>
    <r>
      <rPr>
        <sz val="10"/>
        <rFont val="Times New Roman"/>
        <family val="1"/>
        <charset val="204"/>
      </rPr>
      <t xml:space="preserve"> Включая перевозки судами смешанного (река-море) плавания.</t>
    </r>
  </si>
  <si>
    <r>
      <rPr>
        <vertAlign val="superscript"/>
        <sz val="10"/>
        <rFont val="Times New Roman"/>
        <family val="1"/>
        <charset val="204"/>
      </rPr>
      <t>5)</t>
    </r>
    <r>
      <rPr>
        <sz val="10"/>
        <rFont val="Times New Roman"/>
        <family val="1"/>
        <charset val="204"/>
      </rPr>
      <t xml:space="preserve"> По данным Росавиации.</t>
    </r>
  </si>
  <si>
    <r>
      <t>2024</t>
    </r>
    <r>
      <rPr>
        <vertAlign val="superscript"/>
        <sz val="12"/>
        <color indexed="64"/>
        <rFont val="Times New Roman"/>
        <family val="1"/>
        <charset val="204"/>
      </rPr>
      <t>1)</t>
    </r>
  </si>
  <si>
    <r>
      <rPr>
        <vertAlign val="superscript"/>
        <sz val="12"/>
        <color indexed="64"/>
        <rFont val="Times New Roman"/>
        <family val="1"/>
        <charset val="204"/>
      </rPr>
      <t>2)</t>
    </r>
    <r>
      <rPr>
        <sz val="12"/>
        <color indexed="64"/>
        <rFont val="Times New Roman"/>
        <family val="1"/>
        <charset val="204"/>
      </rPr>
      <t xml:space="preserve"> С 2012 г. - исключая перевозки судами смешанного (река-море) плавания. С 2015 г. - по данным Росморречфлота.</t>
    </r>
  </si>
  <si>
    <r>
      <rPr>
        <vertAlign val="superscript"/>
        <sz val="12"/>
        <color indexed="64"/>
        <rFont val="Times New Roman"/>
        <family val="1"/>
        <charset val="204"/>
      </rPr>
      <t>3)</t>
    </r>
    <r>
      <rPr>
        <sz val="12"/>
        <color indexed="64"/>
        <rFont val="Times New Roman"/>
        <family val="1"/>
        <charset val="204"/>
      </rPr>
      <t xml:space="preserve"> С 2012 г. - включая перевозки судами смешанного (река-море) плавания. С 2015 г. - по данным Росморречфлота.</t>
    </r>
  </si>
  <si>
    <r>
      <t>2024</t>
    </r>
    <r>
      <rPr>
        <vertAlign val="superscript"/>
        <sz val="9"/>
        <rFont val="Times New Roman"/>
        <family val="1"/>
        <charset val="204"/>
      </rPr>
      <t>3)</t>
    </r>
  </si>
  <si>
    <t>Перевозки грузов по видам транспорта по Российской Федерации (с 2000 по 2024 год)</t>
  </si>
  <si>
    <t>Структура перевозок грузов по видам транспорта по Российской Федерации (с 2000 по 2024 год)</t>
  </si>
  <si>
    <t>Перевозки грузов по видам транспорта по Российской Федерации по месяцам (оперативная информация, с 2024 года)</t>
  </si>
  <si>
    <r>
      <t>2026</t>
    </r>
    <r>
      <rPr>
        <vertAlign val="superscript"/>
        <sz val="9"/>
        <rFont val="Times New Roman"/>
        <family val="1"/>
        <charset val="204"/>
      </rPr>
      <t>3)</t>
    </r>
  </si>
  <si>
    <t>газопроводный</t>
  </si>
  <si>
    <t>…</t>
  </si>
  <si>
    <t>нефтепроводный</t>
  </si>
  <si>
    <t>нефтепродуктопроводный</t>
  </si>
  <si>
    <r>
      <rPr>
        <vertAlign val="superscript"/>
        <sz val="11"/>
        <rFont val="Times New Roman"/>
        <family val="1"/>
        <charset val="204"/>
      </rPr>
      <t>1)</t>
    </r>
    <r>
      <rPr>
        <sz val="11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</si>
</sst>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"/>
    <numFmt numFmtId="165" formatCode="0.0"/>
    <numFmt numFmtId="166" formatCode="#,##0.0_ ;[Red]\-#,##0.0\ "/>
  </numFmts>
  <fonts count="30" x14ac:knownFonts="1">
    <font>
      <sz val="11"/>
      <color theme="1"/>
      <name val="Calibri"/>
      <scheme val="minor"/>
    </font>
    <font>
      <u/>
      <sz val="11"/>
      <color theme="10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indexed="64"/>
      <name val="Times New Roman"/>
      <family val="1"/>
      <charset val="204"/>
    </font>
    <font>
      <sz val="12"/>
      <color indexed="64"/>
      <name val="Times New Roman"/>
      <family val="1"/>
      <charset val="204"/>
    </font>
    <font>
      <b/>
      <sz val="14"/>
      <color indexed="64"/>
      <name val="Times New Roman"/>
      <family val="1"/>
      <charset val="204"/>
    </font>
    <font>
      <b/>
      <sz val="12"/>
      <color indexed="64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2"/>
      <color indexed="2"/>
      <name val="Times New Roman"/>
      <family val="1"/>
      <charset val="204"/>
    </font>
    <font>
      <b/>
      <sz val="11"/>
      <name val="Times New Roman"/>
      <family val="1"/>
      <charset val="204"/>
    </font>
    <font>
      <sz val="10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vertAlign val="superscript"/>
      <sz val="12"/>
      <color indexed="64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b/>
      <vertAlign val="superscript"/>
      <sz val="11"/>
      <name val="Times New Roman"/>
      <family val="1"/>
      <charset val="204"/>
    </font>
    <font>
      <vertAlign val="superscript"/>
      <sz val="9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u/>
      <sz val="11"/>
      <color theme="10"/>
      <name val="Times New Roman"/>
      <family val="1"/>
      <charset val="204"/>
    </font>
    <font>
      <b/>
      <sz val="11"/>
      <color indexed="64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vertAlign val="superscript"/>
      <sz val="1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44"/>
      </patternFill>
    </fill>
    <fill>
      <patternFill patternType="solid">
        <fgColor indexed="43"/>
        <bgColor indexed="43"/>
      </patternFill>
    </fill>
  </fills>
  <borders count="2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hair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Protection="0"/>
    <xf numFmtId="0" fontId="2" fillId="0" borderId="0"/>
  </cellStyleXfs>
  <cellXfs count="170">
    <xf numFmtId="0" fontId="0" fillId="0" borderId="0" xfId="0"/>
    <xf numFmtId="0" fontId="0" fillId="0" borderId="0" xfId="0" applyAlignment="1">
      <alignment horizontal="right"/>
    </xf>
    <xf numFmtId="0" fontId="3" fillId="0" borderId="0" xfId="2" applyFont="1"/>
    <xf numFmtId="0" fontId="4" fillId="0" borderId="0" xfId="0" applyFont="1" applyAlignment="1">
      <alignment horizontal="left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0" fillId="0" borderId="0" xfId="0"/>
    <xf numFmtId="0" fontId="6" fillId="2" borderId="2" xfId="0" applyFont="1" applyFill="1" applyBorder="1"/>
    <xf numFmtId="0" fontId="6" fillId="2" borderId="2" xfId="0" applyFont="1" applyFill="1" applyBorder="1" applyAlignment="1">
      <alignment horizontal="center"/>
    </xf>
    <xf numFmtId="0" fontId="6" fillId="0" borderId="3" xfId="0" applyFont="1" applyBorder="1"/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/>
    <xf numFmtId="0" fontId="0" fillId="0" borderId="5" xfId="0" applyBorder="1"/>
    <xf numFmtId="0" fontId="8" fillId="0" borderId="7" xfId="0" applyFont="1" applyBorder="1"/>
    <xf numFmtId="164" fontId="3" fillId="0" borderId="8" xfId="0" applyNumberFormat="1" applyFont="1" applyBorder="1"/>
    <xf numFmtId="164" fontId="3" fillId="0" borderId="9" xfId="0" applyNumberFormat="1" applyFont="1" applyBorder="1"/>
    <xf numFmtId="0" fontId="6" fillId="0" borderId="10" xfId="0" applyFont="1" applyBorder="1" applyAlignment="1">
      <alignment horizontal="left" indent="3"/>
    </xf>
    <xf numFmtId="0" fontId="9" fillId="0" borderId="11" xfId="0" applyFont="1" applyBorder="1"/>
    <xf numFmtId="0" fontId="9" fillId="0" borderId="12" xfId="0" applyFont="1" applyBorder="1"/>
    <xf numFmtId="0" fontId="10" fillId="0" borderId="12" xfId="0" applyFont="1" applyBorder="1"/>
    <xf numFmtId="0" fontId="11" fillId="0" borderId="12" xfId="0" applyFont="1" applyBorder="1"/>
    <xf numFmtId="0" fontId="6" fillId="0" borderId="7" xfId="0" applyFont="1" applyBorder="1" applyAlignment="1">
      <alignment horizontal="left" indent="1"/>
    </xf>
    <xf numFmtId="164" fontId="11" fillId="0" borderId="11" xfId="0" applyNumberFormat="1" applyFont="1" applyBorder="1"/>
    <xf numFmtId="164" fontId="11" fillId="0" borderId="12" xfId="0" applyNumberFormat="1" applyFont="1" applyBorder="1"/>
    <xf numFmtId="0" fontId="6" fillId="0" borderId="10" xfId="0" applyFont="1" applyBorder="1" applyAlignment="1">
      <alignment horizontal="left" indent="1"/>
    </xf>
    <xf numFmtId="164" fontId="11" fillId="0" borderId="11" xfId="0" applyNumberFormat="1" applyFont="1" applyBorder="1" applyAlignment="1">
      <alignment horizontal="right"/>
    </xf>
    <xf numFmtId="164" fontId="11" fillId="0" borderId="12" xfId="0" applyNumberFormat="1" applyFont="1" applyBorder="1" applyAlignment="1">
      <alignment horizontal="right"/>
    </xf>
    <xf numFmtId="0" fontId="6" fillId="0" borderId="13" xfId="0" applyFont="1" applyBorder="1" applyAlignment="1">
      <alignment horizontal="left" indent="1"/>
    </xf>
    <xf numFmtId="164" fontId="11" fillId="0" borderId="14" xfId="0" applyNumberFormat="1" applyFont="1" applyBorder="1" applyAlignment="1">
      <alignment horizontal="right"/>
    </xf>
    <xf numFmtId="164" fontId="11" fillId="0" borderId="1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3" fontId="0" fillId="0" borderId="0" xfId="0" applyNumberFormat="1"/>
    <xf numFmtId="165" fontId="0" fillId="0" borderId="0" xfId="0" applyNumberFormat="1"/>
    <xf numFmtId="0" fontId="12" fillId="0" borderId="0" xfId="0" applyFont="1"/>
    <xf numFmtId="164" fontId="6" fillId="0" borderId="0" xfId="0" applyNumberFormat="1" applyFont="1"/>
    <xf numFmtId="0" fontId="8" fillId="0" borderId="0" xfId="0" applyFont="1"/>
    <xf numFmtId="164" fontId="8" fillId="0" borderId="0" xfId="0" applyNumberFormat="1" applyFont="1"/>
    <xf numFmtId="0" fontId="9" fillId="0" borderId="0" xfId="0" applyFont="1"/>
    <xf numFmtId="0" fontId="13" fillId="0" borderId="17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9" fillId="0" borderId="19" xfId="0" applyFont="1" applyBorder="1"/>
    <xf numFmtId="0" fontId="13" fillId="0" borderId="6" xfId="0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13" fillId="0" borderId="6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165" fontId="13" fillId="0" borderId="12" xfId="0" applyNumberFormat="1" applyFont="1" applyBorder="1"/>
    <xf numFmtId="165" fontId="13" fillId="0" borderId="7" xfId="0" applyNumberFormat="1" applyFont="1" applyBorder="1"/>
    <xf numFmtId="0" fontId="9" fillId="0" borderId="7" xfId="0" applyFont="1" applyBorder="1"/>
    <xf numFmtId="165" fontId="9" fillId="0" borderId="12" xfId="0" applyNumberFormat="1" applyFont="1" applyBorder="1"/>
    <xf numFmtId="165" fontId="9" fillId="0" borderId="7" xfId="0" applyNumberFormat="1" applyFont="1" applyBorder="1"/>
    <xf numFmtId="2" fontId="9" fillId="0" borderId="12" xfId="0" applyNumberFormat="1" applyFont="1" applyBorder="1"/>
    <xf numFmtId="2" fontId="9" fillId="0" borderId="7" xfId="0" applyNumberFormat="1" applyFont="1" applyBorder="1"/>
    <xf numFmtId="2" fontId="9" fillId="0" borderId="11" xfId="0" applyNumberFormat="1" applyFont="1" applyBorder="1"/>
    <xf numFmtId="2" fontId="9" fillId="0" borderId="20" xfId="0" applyNumberFormat="1" applyFont="1" applyBorder="1"/>
    <xf numFmtId="165" fontId="9" fillId="0" borderId="11" xfId="0" applyNumberFormat="1" applyFont="1" applyBorder="1"/>
    <xf numFmtId="165" fontId="9" fillId="0" borderId="20" xfId="0" applyNumberFormat="1" applyFont="1" applyBorder="1"/>
    <xf numFmtId="0" fontId="9" fillId="0" borderId="20" xfId="0" applyFont="1" applyBorder="1"/>
    <xf numFmtId="0" fontId="9" fillId="0" borderId="21" xfId="0" applyFont="1" applyBorder="1"/>
    <xf numFmtId="165" fontId="9" fillId="0" borderId="15" xfId="0" applyNumberFormat="1" applyFont="1" applyBorder="1"/>
    <xf numFmtId="165" fontId="9" fillId="0" borderId="21" xfId="0" applyNumberFormat="1" applyFont="1" applyBorder="1"/>
    <xf numFmtId="165" fontId="9" fillId="0" borderId="14" xfId="0" applyNumberFormat="1" applyFont="1" applyBorder="1"/>
    <xf numFmtId="0" fontId="9" fillId="0" borderId="22" xfId="0" applyFont="1" applyBorder="1"/>
    <xf numFmtId="165" fontId="9" fillId="0" borderId="22" xfId="0" applyNumberFormat="1" applyFont="1" applyBorder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2" xfId="0" applyFont="1" applyBorder="1" applyAlignment="1">
      <alignment horizontal="center" vertical="center" wrapText="1"/>
    </xf>
    <xf numFmtId="0" fontId="16" fillId="0" borderId="0" xfId="0" applyFont="1"/>
    <xf numFmtId="0" fontId="15" fillId="0" borderId="2" xfId="0" applyFont="1" applyBorder="1" applyAlignment="1">
      <alignment horizontal="center" vertical="center" wrapText="1"/>
    </xf>
    <xf numFmtId="166" fontId="17" fillId="3" borderId="4" xfId="0" applyNumberFormat="1" applyFont="1" applyFill="1" applyBorder="1"/>
    <xf numFmtId="166" fontId="17" fillId="3" borderId="5" xfId="0" applyNumberFormat="1" applyFont="1" applyFill="1" applyBorder="1"/>
    <xf numFmtId="166" fontId="17" fillId="3" borderId="23" xfId="0" applyNumberFormat="1" applyFont="1" applyFill="1" applyBorder="1"/>
    <xf numFmtId="0" fontId="10" fillId="0" borderId="0" xfId="0" applyFont="1"/>
    <xf numFmtId="166" fontId="17" fillId="3" borderId="24" xfId="0" applyNumberFormat="1" applyFont="1" applyFill="1" applyBorder="1"/>
    <xf numFmtId="166" fontId="17" fillId="3" borderId="0" xfId="0" applyNumberFormat="1" applyFont="1" applyFill="1"/>
    <xf numFmtId="166" fontId="17" fillId="3" borderId="25" xfId="0" applyNumberFormat="1" applyFont="1" applyFill="1" applyBorder="1"/>
    <xf numFmtId="0" fontId="16" fillId="0" borderId="2" xfId="0" applyFont="1" applyBorder="1" applyAlignment="1">
      <alignment horizontal="center" wrapText="1"/>
    </xf>
    <xf numFmtId="166" fontId="14" fillId="3" borderId="24" xfId="0" applyNumberFormat="1" applyFont="1" applyFill="1" applyBorder="1"/>
    <xf numFmtId="166" fontId="14" fillId="3" borderId="0" xfId="0" applyNumberFormat="1" applyFont="1" applyFill="1"/>
    <xf numFmtId="166" fontId="14" fillId="3" borderId="25" xfId="0" applyNumberFormat="1" applyFont="1" applyFill="1" applyBorder="1"/>
    <xf numFmtId="166" fontId="14" fillId="3" borderId="24" xfId="0" applyNumberFormat="1" applyFont="1" applyFill="1" applyBorder="1" applyAlignment="1">
      <alignment vertical="center"/>
    </xf>
    <xf numFmtId="166" fontId="17" fillId="3" borderId="25" xfId="0" applyNumberFormat="1" applyFont="1" applyFill="1" applyBorder="1" applyAlignment="1">
      <alignment vertical="center"/>
    </xf>
    <xf numFmtId="166" fontId="14" fillId="3" borderId="1" xfId="0" applyNumberFormat="1" applyFont="1" applyFill="1" applyBorder="1" applyAlignment="1">
      <alignment vertical="center"/>
    </xf>
    <xf numFmtId="166" fontId="14" fillId="3" borderId="26" xfId="0" applyNumberFormat="1" applyFont="1" applyFill="1" applyBorder="1" applyAlignment="1">
      <alignment vertical="center"/>
    </xf>
    <xf numFmtId="0" fontId="14" fillId="0" borderId="4" xfId="0" applyFont="1" applyBorder="1" applyAlignment="1">
      <alignment horizontal="left" vertical="center" wrapText="1" indent="1"/>
    </xf>
    <xf numFmtId="0" fontId="15" fillId="0" borderId="3" xfId="0" applyFont="1" applyBorder="1" applyAlignment="1">
      <alignment horizontal="center" wrapText="1"/>
    </xf>
    <xf numFmtId="166" fontId="14" fillId="0" borderId="5" xfId="0" applyNumberFormat="1" applyFont="1" applyBorder="1" applyProtection="1">
      <protection locked="0"/>
    </xf>
    <xf numFmtId="166" fontId="14" fillId="0" borderId="5" xfId="0" applyNumberFormat="1" applyFont="1" applyBorder="1" applyAlignment="1" applyProtection="1">
      <alignment horizontal="right"/>
      <protection locked="0"/>
    </xf>
    <xf numFmtId="166" fontId="14" fillId="0" borderId="23" xfId="0" applyNumberFormat="1" applyFont="1" applyBorder="1" applyAlignment="1" applyProtection="1">
      <alignment horizontal="right"/>
      <protection locked="0"/>
    </xf>
    <xf numFmtId="0" fontId="14" fillId="0" borderId="24" xfId="0" applyFont="1" applyBorder="1"/>
    <xf numFmtId="0" fontId="18" fillId="0" borderId="10" xfId="0" applyFont="1" applyBorder="1" applyAlignment="1">
      <alignment horizontal="center"/>
    </xf>
    <xf numFmtId="166" fontId="14" fillId="0" borderId="0" xfId="0" applyNumberFormat="1" applyFont="1" applyProtection="1">
      <protection locked="0"/>
    </xf>
    <xf numFmtId="166" fontId="14" fillId="0" borderId="25" xfId="0" applyNumberFormat="1" applyFont="1" applyBorder="1" applyProtection="1">
      <protection locked="0"/>
    </xf>
    <xf numFmtId="0" fontId="16" fillId="0" borderId="10" xfId="0" applyFont="1" applyBorder="1" applyAlignment="1">
      <alignment horizontal="center"/>
    </xf>
    <xf numFmtId="166" fontId="14" fillId="0" borderId="0" xfId="0" applyNumberFormat="1" applyFont="1" applyAlignment="1" applyProtection="1">
      <alignment horizontal="right"/>
      <protection locked="0"/>
    </xf>
    <xf numFmtId="0" fontId="14" fillId="0" borderId="24" xfId="0" applyFont="1" applyBorder="1" applyAlignment="1">
      <alignment horizontal="left" vertical="center" indent="1"/>
    </xf>
    <xf numFmtId="0" fontId="14" fillId="0" borderId="24" xfId="0" applyFont="1" applyBorder="1" applyAlignment="1">
      <alignment horizontal="left" indent="1"/>
    </xf>
    <xf numFmtId="0" fontId="16" fillId="0" borderId="27" xfId="0" applyFont="1" applyBorder="1"/>
    <xf numFmtId="0" fontId="18" fillId="0" borderId="13" xfId="0" applyFont="1" applyBorder="1" applyAlignment="1">
      <alignment horizontal="center"/>
    </xf>
    <xf numFmtId="166" fontId="14" fillId="0" borderId="1" xfId="0" applyNumberFormat="1" applyFont="1" applyBorder="1" applyProtection="1">
      <protection locked="0"/>
    </xf>
    <xf numFmtId="166" fontId="14" fillId="0" borderId="1" xfId="0" applyNumberFormat="1" applyFont="1" applyBorder="1" applyAlignment="1" applyProtection="1">
      <alignment horizontal="right"/>
      <protection locked="0"/>
    </xf>
    <xf numFmtId="166" fontId="14" fillId="0" borderId="26" xfId="0" applyNumberFormat="1" applyFont="1" applyBorder="1" applyAlignment="1" applyProtection="1">
      <alignment horizontal="right"/>
      <protection locked="0"/>
    </xf>
    <xf numFmtId="166" fontId="16" fillId="0" borderId="0" xfId="0" applyNumberFormat="1" applyFont="1"/>
    <xf numFmtId="166" fontId="14" fillId="0" borderId="0" xfId="0" applyNumberFormat="1" applyFont="1"/>
    <xf numFmtId="2" fontId="13" fillId="0" borderId="0" xfId="0" applyNumberFormat="1" applyFont="1"/>
    <xf numFmtId="2" fontId="0" fillId="0" borderId="0" xfId="0" applyNumberFormat="1"/>
    <xf numFmtId="165" fontId="13" fillId="0" borderId="0" xfId="0" applyNumberFormat="1" applyFont="1"/>
    <xf numFmtId="0" fontId="24" fillId="0" borderId="0" xfId="0" applyFont="1"/>
    <xf numFmtId="166" fontId="14" fillId="0" borderId="0" xfId="0" applyNumberFormat="1" applyFont="1" applyFill="1" applyProtection="1">
      <protection locked="0"/>
    </xf>
    <xf numFmtId="0" fontId="25" fillId="0" borderId="0" xfId="1" applyFont="1" applyAlignment="1">
      <alignment horizontal="left"/>
    </xf>
    <xf numFmtId="0" fontId="25" fillId="0" borderId="0" xfId="1" applyFont="1"/>
    <xf numFmtId="0" fontId="24" fillId="0" borderId="0" xfId="0" applyFont="1" applyAlignment="1">
      <alignment horizontal="right"/>
    </xf>
    <xf numFmtId="0" fontId="0" fillId="0" borderId="23" xfId="0" applyBorder="1"/>
    <xf numFmtId="164" fontId="3" fillId="0" borderId="28" xfId="0" applyNumberFormat="1" applyFont="1" applyBorder="1"/>
    <xf numFmtId="0" fontId="10" fillId="0" borderId="20" xfId="0" applyFont="1" applyBorder="1"/>
    <xf numFmtId="164" fontId="11" fillId="0" borderId="20" xfId="0" applyNumberFormat="1" applyFont="1" applyBorder="1"/>
    <xf numFmtId="164" fontId="11" fillId="0" borderId="20" xfId="0" applyNumberFormat="1" applyFont="1" applyBorder="1" applyAlignment="1">
      <alignment horizontal="right"/>
    </xf>
    <xf numFmtId="164" fontId="11" fillId="0" borderId="22" xfId="0" applyNumberFormat="1" applyFont="1" applyBorder="1" applyAlignment="1">
      <alignment horizontal="right"/>
    </xf>
    <xf numFmtId="0" fontId="25" fillId="0" borderId="0" xfId="1" applyFont="1" applyAlignment="1">
      <alignment horizontal="left"/>
    </xf>
    <xf numFmtId="0" fontId="25" fillId="0" borderId="0" xfId="1" applyFont="1" applyAlignment="1">
      <alignment horizontal="left"/>
    </xf>
    <xf numFmtId="0" fontId="5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26" fillId="0" borderId="7" xfId="0" applyFont="1" applyBorder="1"/>
    <xf numFmtId="0" fontId="5" fillId="0" borderId="7" xfId="0" applyFont="1" applyBorder="1" applyAlignment="1">
      <alignment horizontal="left" indent="3"/>
    </xf>
    <xf numFmtId="0" fontId="9" fillId="0" borderId="7" xfId="0" applyFont="1" applyBorder="1" applyAlignment="1">
      <alignment horizontal="left" indent="1"/>
    </xf>
    <xf numFmtId="0" fontId="9" fillId="0" borderId="21" xfId="0" applyFont="1" applyBorder="1" applyAlignment="1">
      <alignment horizontal="left" indent="1"/>
    </xf>
    <xf numFmtId="0" fontId="9" fillId="0" borderId="2" xfId="0" applyFont="1" applyBorder="1" applyAlignment="1">
      <alignment vertical="center"/>
    </xf>
    <xf numFmtId="0" fontId="13" fillId="0" borderId="16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4" fontId="14" fillId="0" borderId="0" xfId="0" applyNumberFormat="1" applyFont="1"/>
    <xf numFmtId="0" fontId="25" fillId="0" borderId="0" xfId="1" applyFont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166" fontId="17" fillId="3" borderId="0" xfId="0" applyNumberFormat="1" applyFont="1" applyFill="1" applyAlignment="1">
      <alignment vertical="center"/>
    </xf>
    <xf numFmtId="166" fontId="14" fillId="0" borderId="24" xfId="0" applyNumberFormat="1" applyFont="1" applyBorder="1" applyProtection="1">
      <protection locked="0"/>
    </xf>
    <xf numFmtId="166" fontId="14" fillId="0" borderId="0" xfId="0" applyNumberFormat="1" applyFont="1" applyBorder="1" applyProtection="1">
      <protection locked="0"/>
    </xf>
    <xf numFmtId="166" fontId="14" fillId="0" borderId="0" xfId="0" applyNumberFormat="1" applyFont="1" applyBorder="1" applyAlignment="1" applyProtection="1">
      <alignment horizontal="right"/>
      <protection locked="0"/>
    </xf>
    <xf numFmtId="166" fontId="14" fillId="0" borderId="25" xfId="0" applyNumberFormat="1" applyFont="1" applyBorder="1" applyAlignment="1" applyProtection="1">
      <alignment horizontal="right"/>
      <protection locked="0"/>
    </xf>
    <xf numFmtId="166" fontId="27" fillId="0" borderId="0" xfId="0" applyNumberFormat="1" applyFont="1" applyAlignment="1" applyProtection="1">
      <alignment horizontal="right"/>
      <protection locked="0"/>
    </xf>
    <xf numFmtId="166" fontId="28" fillId="3" borderId="24" xfId="0" applyNumberFormat="1" applyFont="1" applyFill="1" applyBorder="1"/>
    <xf numFmtId="166" fontId="27" fillId="0" borderId="1" xfId="0" applyNumberFormat="1" applyFont="1" applyBorder="1" applyProtection="1">
      <protection locked="0"/>
    </xf>
    <xf numFmtId="166" fontId="28" fillId="3" borderId="24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6" fillId="0" borderId="7" xfId="0" applyFont="1" applyBorder="1" applyAlignment="1">
      <alignment horizontal="left" indent="5"/>
    </xf>
    <xf numFmtId="0" fontId="6" fillId="0" borderId="7" xfId="0" applyFont="1" applyBorder="1" applyAlignment="1">
      <alignment horizontal="left" indent="3"/>
    </xf>
    <xf numFmtId="0" fontId="24" fillId="0" borderId="0" xfId="0" applyFont="1" applyAlignment="1">
      <alignment horizontal="left"/>
    </xf>
    <xf numFmtId="0" fontId="25" fillId="0" borderId="0" xfId="1" applyFont="1" applyAlignment="1">
      <alignment horizontal="left"/>
    </xf>
    <xf numFmtId="0" fontId="25" fillId="0" borderId="0" xfId="1" applyFont="1"/>
    <xf numFmtId="0" fontId="1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9" fillId="0" borderId="0" xfId="0" applyFont="1" applyBorder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/>
    </xf>
    <xf numFmtId="0" fontId="9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right"/>
    </xf>
    <xf numFmtId="0" fontId="15" fillId="0" borderId="3" xfId="0" applyFont="1" applyBorder="1" applyAlignment="1">
      <alignment horizontal="left" vertical="center" wrapText="1"/>
    </xf>
    <xf numFmtId="0" fontId="15" fillId="0" borderId="10" xfId="0" applyFont="1" applyBorder="1" applyAlignment="1">
      <alignment horizontal="left" vertical="center" wrapText="1"/>
    </xf>
    <xf numFmtId="0" fontId="15" fillId="0" borderId="13" xfId="0" applyFont="1" applyBorder="1" applyAlignment="1">
      <alignment horizontal="left" vertical="center" wrapText="1"/>
    </xf>
    <xf numFmtId="0" fontId="15" fillId="0" borderId="10" xfId="0" applyFont="1" applyBorder="1" applyAlignment="1">
      <alignment horizontal="left" vertical="center" wrapText="1" indent="1"/>
    </xf>
    <xf numFmtId="0" fontId="15" fillId="0" borderId="3" xfId="0" applyFont="1" applyBorder="1" applyAlignment="1">
      <alignment horizontal="left" vertical="center" wrapText="1" indent="3"/>
    </xf>
    <xf numFmtId="0" fontId="15" fillId="0" borderId="10" xfId="0" applyFont="1" applyBorder="1" applyAlignment="1">
      <alignment horizontal="left" vertical="center" wrapText="1" indent="3"/>
    </xf>
    <xf numFmtId="0" fontId="15" fillId="0" borderId="13" xfId="0" applyFont="1" applyBorder="1" applyAlignment="1">
      <alignment horizontal="left" vertical="center" wrapText="1" indent="3"/>
    </xf>
    <xf numFmtId="0" fontId="9" fillId="0" borderId="0" xfId="0" applyFont="1" applyAlignment="1">
      <alignment horizontal="left"/>
    </xf>
  </cellXfs>
  <cellStyles count="3">
    <cellStyle name="Гиперссылка" xfId="1" builtinId="8"/>
    <cellStyle name="Обычный" xfId="0" builtinId="0"/>
    <cellStyle name="Обычный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Структура перевозок грузов по видам транспорта по Российской Федерации, %</a:t>
            </a:r>
          </a:p>
        </c:rich>
      </c:tx>
      <c:layout/>
      <c:overlay val="0"/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'2'!$A$9</c:f>
              <c:strCache>
                <c:ptCount val="1"/>
                <c:pt idx="0">
                  <c:v>железнодорожный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i="0" u="none" strike="noStrik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'2'!$B$5:$Z$5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'2'!$B$9:$Z$9</c:f>
              <c:numCache>
                <c:formatCode>0.0</c:formatCode>
                <c:ptCount val="25"/>
                <c:pt idx="0">
                  <c:v>13.2</c:v>
                </c:pt>
                <c:pt idx="1">
                  <c:v>12.9</c:v>
                </c:pt>
                <c:pt idx="2">
                  <c:v>12.8</c:v>
                </c:pt>
                <c:pt idx="3">
                  <c:v>13.2</c:v>
                </c:pt>
                <c:pt idx="4">
                  <c:v>13.6</c:v>
                </c:pt>
                <c:pt idx="5">
                  <c:v>13.9</c:v>
                </c:pt>
                <c:pt idx="6">
                  <c:v>14.1</c:v>
                </c:pt>
                <c:pt idx="7">
                  <c:v>14.2</c:v>
                </c:pt>
                <c:pt idx="8">
                  <c:v>13.8</c:v>
                </c:pt>
                <c:pt idx="9">
                  <c:v>14.8</c:v>
                </c:pt>
                <c:pt idx="10">
                  <c:v>16.899999999999999</c:v>
                </c:pt>
                <c:pt idx="11">
                  <c:v>16.600000000000001</c:v>
                </c:pt>
                <c:pt idx="12">
                  <c:v>16.7</c:v>
                </c:pt>
                <c:pt idx="13">
                  <c:v>16.7</c:v>
                </c:pt>
                <c:pt idx="14">
                  <c:v>17.2</c:v>
                </c:pt>
                <c:pt idx="15">
                  <c:v>16.8</c:v>
                </c:pt>
                <c:pt idx="16">
                  <c:v>16.7</c:v>
                </c:pt>
                <c:pt idx="17">
                  <c:v>17.100000000000001</c:v>
                </c:pt>
                <c:pt idx="18">
                  <c:v>17.100000000000001</c:v>
                </c:pt>
                <c:pt idx="19" formatCode="General">
                  <c:v>16.600000000000001</c:v>
                </c:pt>
                <c:pt idx="20" formatCode="General">
                  <c:v>17.100000000000001</c:v>
                </c:pt>
                <c:pt idx="21">
                  <c:v>17</c:v>
                </c:pt>
                <c:pt idx="22" formatCode="General">
                  <c:v>15.5</c:v>
                </c:pt>
                <c:pt idx="23" formatCode="General">
                  <c:v>15.1</c:v>
                </c:pt>
                <c:pt idx="24" formatCode="General">
                  <c:v>14.1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77-4006-B80F-DBB5CB573696}"/>
            </c:ext>
          </c:extLst>
        </c:ser>
        <c:ser>
          <c:idx val="1"/>
          <c:order val="1"/>
          <c:tx>
            <c:strRef>
              <c:f>'2'!$A$10</c:f>
              <c:strCache>
                <c:ptCount val="1"/>
                <c:pt idx="0">
                  <c:v>воздушный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i="0" u="none" strike="noStrik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'2'!$B$5:$Z$5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'2'!$B$10:$Z$10</c:f>
              <c:numCache>
                <c:formatCode>0.00</c:formatCode>
                <c:ptCount val="25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0.02</c:v>
                </c:pt>
                <c:pt idx="15">
                  <c:v>0.01</c:v>
                </c:pt>
                <c:pt idx="16">
                  <c:v>0.01</c:v>
                </c:pt>
                <c:pt idx="17">
                  <c:v>0.02</c:v>
                </c:pt>
                <c:pt idx="18">
                  <c:v>0.02</c:v>
                </c:pt>
                <c:pt idx="19" formatCode="General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77-4006-B80F-DBB5CB573696}"/>
            </c:ext>
          </c:extLst>
        </c:ser>
        <c:ser>
          <c:idx val="2"/>
          <c:order val="2"/>
          <c:tx>
            <c:strRef>
              <c:f>'2'!$A$11</c:f>
              <c:strCache>
                <c:ptCount val="1"/>
                <c:pt idx="0">
                  <c:v>автомобильный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i="0" u="none" strike="noStrik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'2'!$B$5:$Z$5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'2'!$B$11:$Z$11</c:f>
              <c:numCache>
                <c:formatCode>0.0</c:formatCode>
                <c:ptCount val="25"/>
                <c:pt idx="0">
                  <c:v>74.399999999999991</c:v>
                </c:pt>
                <c:pt idx="1">
                  <c:v>74.7</c:v>
                </c:pt>
                <c:pt idx="2">
                  <c:v>74.8</c:v>
                </c:pt>
                <c:pt idx="3">
                  <c:v>73.899999999999991</c:v>
                </c:pt>
                <c:pt idx="4">
                  <c:v>73.2</c:v>
                </c:pt>
                <c:pt idx="5">
                  <c:v>73</c:v>
                </c:pt>
                <c:pt idx="6">
                  <c:v>72.599999999999994</c:v>
                </c:pt>
                <c:pt idx="7">
                  <c:v>72.699999999999989</c:v>
                </c:pt>
                <c:pt idx="8">
                  <c:v>72.900000000000006</c:v>
                </c:pt>
                <c:pt idx="9">
                  <c:v>70.2</c:v>
                </c:pt>
                <c:pt idx="10">
                  <c:v>67.599999999999994</c:v>
                </c:pt>
                <c:pt idx="11">
                  <c:v>67.900000000000006</c:v>
                </c:pt>
                <c:pt idx="12">
                  <c:v>68.5</c:v>
                </c:pt>
                <c:pt idx="13">
                  <c:v>68.2</c:v>
                </c:pt>
                <c:pt idx="14">
                  <c:v>67.600000000000009</c:v>
                </c:pt>
                <c:pt idx="15">
                  <c:v>67.8</c:v>
                </c:pt>
                <c:pt idx="16">
                  <c:v>67.800000000000011</c:v>
                </c:pt>
                <c:pt idx="17">
                  <c:v>67</c:v>
                </c:pt>
                <c:pt idx="18">
                  <c:v>67.099999999999994</c:v>
                </c:pt>
                <c:pt idx="19">
                  <c:v>68</c:v>
                </c:pt>
                <c:pt idx="20">
                  <c:v>67.900000000000006</c:v>
                </c:pt>
                <c:pt idx="21">
                  <c:v>67.599999999999994</c:v>
                </c:pt>
                <c:pt idx="22">
                  <c:v>70.7</c:v>
                </c:pt>
                <c:pt idx="23">
                  <c:v>71.599999999999994</c:v>
                </c:pt>
                <c:pt idx="24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77-4006-B80F-DBB5CB573696}"/>
            </c:ext>
          </c:extLst>
        </c:ser>
        <c:ser>
          <c:idx val="3"/>
          <c:order val="3"/>
          <c:tx>
            <c:strRef>
              <c:f>'2'!$A$12</c:f>
              <c:strCache>
                <c:ptCount val="1"/>
                <c:pt idx="0">
                  <c:v>водный транспорт</c:v>
                </c:pt>
              </c:strCache>
            </c:strRef>
          </c:tx>
          <c:spPr>
            <a:solidFill>
              <a:srgbClr val="FFFF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i="0" u="none" strike="noStrik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'2'!$B$5:$Z$5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'2'!$B$12:$Z$12</c:f>
              <c:numCache>
                <c:formatCode>0.0</c:formatCode>
                <c:ptCount val="25"/>
                <c:pt idx="0">
                  <c:v>1.9</c:v>
                </c:pt>
                <c:pt idx="1">
                  <c:v>2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1.7</c:v>
                </c:pt>
                <c:pt idx="6">
                  <c:v>1.8</c:v>
                </c:pt>
                <c:pt idx="7">
                  <c:v>1.9</c:v>
                </c:pt>
                <c:pt idx="8">
                  <c:v>2</c:v>
                </c:pt>
                <c:pt idx="9">
                  <c:v>1.8</c:v>
                </c:pt>
                <c:pt idx="10">
                  <c:v>1.8</c:v>
                </c:pt>
                <c:pt idx="11">
                  <c:v>1.9</c:v>
                </c:pt>
                <c:pt idx="12">
                  <c:v>1.9</c:v>
                </c:pt>
                <c:pt idx="13">
                  <c:v>1.8</c:v>
                </c:pt>
                <c:pt idx="14">
                  <c:v>1.7</c:v>
                </c:pt>
                <c:pt idx="15">
                  <c:v>1.8</c:v>
                </c:pt>
                <c:pt idx="16">
                  <c:v>1.8</c:v>
                </c:pt>
                <c:pt idx="17">
                  <c:v>1.8</c:v>
                </c:pt>
                <c:pt idx="18">
                  <c:v>1.7</c:v>
                </c:pt>
                <c:pt idx="19" formatCode="General">
                  <c:v>1.6</c:v>
                </c:pt>
                <c:pt idx="20" formatCode="General">
                  <c:v>1.7</c:v>
                </c:pt>
                <c:pt idx="21" formatCode="General">
                  <c:v>1.6</c:v>
                </c:pt>
                <c:pt idx="22" formatCode="General">
                  <c:v>1.6</c:v>
                </c:pt>
                <c:pt idx="23" formatCode="General">
                  <c:v>1.6</c:v>
                </c:pt>
                <c:pt idx="24" formatCode="General">
                  <c:v>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77-4006-B80F-DBB5CB573696}"/>
            </c:ext>
          </c:extLst>
        </c:ser>
        <c:ser>
          <c:idx val="4"/>
          <c:order val="4"/>
          <c:tx>
            <c:strRef>
              <c:f>'2'!$A$13</c:f>
              <c:strCache>
                <c:ptCount val="1"/>
                <c:pt idx="0">
                  <c:v>трубопроводный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i="0" u="none" strike="noStrik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'2'!$B$5:$Z$5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'2'!$B$13:$Z$13</c:f>
              <c:numCache>
                <c:formatCode>0.0</c:formatCode>
                <c:ptCount val="25"/>
                <c:pt idx="0">
                  <c:v>10.5</c:v>
                </c:pt>
                <c:pt idx="1">
                  <c:v>10.4</c:v>
                </c:pt>
                <c:pt idx="2">
                  <c:v>10.6</c:v>
                </c:pt>
                <c:pt idx="3">
                  <c:v>11.1</c:v>
                </c:pt>
                <c:pt idx="4">
                  <c:v>11.4</c:v>
                </c:pt>
                <c:pt idx="5">
                  <c:v>11.4</c:v>
                </c:pt>
                <c:pt idx="6">
                  <c:v>11.5</c:v>
                </c:pt>
                <c:pt idx="7">
                  <c:v>11.2</c:v>
                </c:pt>
                <c:pt idx="8">
                  <c:v>11.3</c:v>
                </c:pt>
                <c:pt idx="9">
                  <c:v>13.2</c:v>
                </c:pt>
                <c:pt idx="10">
                  <c:v>13.7</c:v>
                </c:pt>
                <c:pt idx="11">
                  <c:v>13.6</c:v>
                </c:pt>
                <c:pt idx="12">
                  <c:v>12.9</c:v>
                </c:pt>
                <c:pt idx="13">
                  <c:v>13.3</c:v>
                </c:pt>
                <c:pt idx="14">
                  <c:v>13.5</c:v>
                </c:pt>
                <c:pt idx="15">
                  <c:v>13.6</c:v>
                </c:pt>
                <c:pt idx="16">
                  <c:v>13.7</c:v>
                </c:pt>
                <c:pt idx="17">
                  <c:v>14.1</c:v>
                </c:pt>
                <c:pt idx="18">
                  <c:v>14.1</c:v>
                </c:pt>
                <c:pt idx="19" formatCode="General">
                  <c:v>13.8</c:v>
                </c:pt>
                <c:pt idx="20" formatCode="General">
                  <c:v>13.3</c:v>
                </c:pt>
                <c:pt idx="21">
                  <c:v>13.8</c:v>
                </c:pt>
                <c:pt idx="22">
                  <c:v>12.2</c:v>
                </c:pt>
                <c:pt idx="23">
                  <c:v>11.7</c:v>
                </c:pt>
                <c:pt idx="24">
                  <c:v>11.5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77-4006-B80F-DBB5CB573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50823424"/>
        <c:axId val="167535744"/>
      </c:barChart>
      <c:catAx>
        <c:axId val="150823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67535744"/>
        <c:crosses val="autoZero"/>
        <c:auto val="1"/>
        <c:lblAlgn val="ctr"/>
        <c:lblOffset val="100"/>
        <c:noMultiLvlLbl val="0"/>
      </c:catAx>
      <c:valAx>
        <c:axId val="16753574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5082342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4.246619296657398E-2"/>
          <c:y val="0.94548500000000002"/>
          <c:w val="0.93770604977107386"/>
          <c:h val="4.8486410273096039E-2"/>
        </c:manualLayout>
      </c:layout>
      <c:overlay val="0"/>
      <c:txPr>
        <a:bodyPr/>
        <a:lstStyle/>
        <a:p>
          <a:pPr>
            <a:defRPr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392145</xdr:colOff>
      <xdr:row>4</xdr:row>
      <xdr:rowOff>0</xdr:rowOff>
    </xdr:from>
    <xdr:ext cx="259430" cy="195565"/>
    <xdr:sp macro="" textlink="">
      <xdr:nvSpPr>
        <xdr:cNvPr id="6" name="TextBox 5"/>
        <xdr:cNvSpPr txBox="1"/>
      </xdr:nvSpPr>
      <xdr:spPr bwMode="auto">
        <a:xfrm>
          <a:off x="17293728" y="814917"/>
          <a:ext cx="259430" cy="19556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r>
            <a:rPr lang="ru-RU" sz="700">
              <a:latin typeface="Times New Roman"/>
              <a:cs typeface="Times New Roman"/>
            </a:rPr>
            <a:t>1)</a:t>
          </a:r>
          <a:endParaRPr lang="ru-RU" sz="1050">
            <a:latin typeface="Times New Roman"/>
            <a:cs typeface="Times New Roman"/>
          </a:endParaRPr>
        </a:p>
      </xdr:txBody>
    </xdr:sp>
    <xdr:clientData/>
  </xdr:oneCellAnchor>
  <xdr:oneCellAnchor>
    <xdr:from>
      <xdr:col>25</xdr:col>
      <xdr:colOff>392143</xdr:colOff>
      <xdr:row>4</xdr:row>
      <xdr:rowOff>0</xdr:rowOff>
    </xdr:from>
    <xdr:ext cx="259430" cy="195565"/>
    <xdr:sp macro="" textlink="">
      <xdr:nvSpPr>
        <xdr:cNvPr id="7" name="TextBox 6"/>
        <xdr:cNvSpPr txBox="1"/>
      </xdr:nvSpPr>
      <xdr:spPr bwMode="auto">
        <a:xfrm>
          <a:off x="17939310" y="814917"/>
          <a:ext cx="259430" cy="19556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r>
            <a:rPr lang="ru-RU" sz="700">
              <a:latin typeface="Times New Roman"/>
              <a:cs typeface="Times New Roman"/>
            </a:rPr>
            <a:t>1)</a:t>
          </a:r>
          <a:endParaRPr lang="ru-RU" sz="1050">
            <a:latin typeface="Times New Roman"/>
            <a:cs typeface="Times New Roman"/>
          </a:endParaRPr>
        </a:p>
      </xdr:txBody>
    </xdr:sp>
    <xdr:clientData/>
  </xdr:oneCellAnchor>
  <xdr:oneCellAnchor>
    <xdr:from>
      <xdr:col>23</xdr:col>
      <xdr:colOff>391579</xdr:colOff>
      <xdr:row>3</xdr:row>
      <xdr:rowOff>178246</xdr:rowOff>
    </xdr:from>
    <xdr:ext cx="259430" cy="195565"/>
    <xdr:sp macro="" textlink="">
      <xdr:nvSpPr>
        <xdr:cNvPr id="8" name="TextBox 7"/>
        <xdr:cNvSpPr txBox="1"/>
      </xdr:nvSpPr>
      <xdr:spPr bwMode="auto">
        <a:xfrm>
          <a:off x="16647579" y="802663"/>
          <a:ext cx="259430" cy="19556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r>
            <a:rPr lang="ru-RU" sz="700">
              <a:latin typeface="Times New Roman"/>
              <a:cs typeface="Times New Roman"/>
            </a:rPr>
            <a:t>1)</a:t>
          </a:r>
          <a:endParaRPr lang="ru-RU" sz="1050">
            <a:latin typeface="Times New Roman"/>
            <a:cs typeface="Times New Roman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22</xdr:col>
      <xdr:colOff>200025</xdr:colOff>
      <xdr:row>33</xdr:row>
      <xdr:rowOff>28575</xdr:rowOff>
    </xdr:to>
    <xdr:graphicFrame macro="">
      <xdr:nvGraphicFramePr>
        <xdr:cNvPr id="5267" name="Диаграмма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20</xdr:col>
      <xdr:colOff>611712</xdr:colOff>
      <xdr:row>29</xdr:row>
      <xdr:rowOff>178859</xdr:rowOff>
    </xdr:from>
    <xdr:ext cx="259430" cy="195565"/>
    <xdr:sp macro="" textlink="">
      <xdr:nvSpPr>
        <xdr:cNvPr id="3" name="TextBox 2"/>
        <xdr:cNvSpPr txBox="1"/>
      </xdr:nvSpPr>
      <xdr:spPr bwMode="auto">
        <a:xfrm>
          <a:off x="12888379" y="5703359"/>
          <a:ext cx="259430" cy="19556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r>
            <a:rPr lang="ru-RU" sz="700">
              <a:latin typeface="Times New Roman"/>
              <a:cs typeface="Times New Roman"/>
            </a:rPr>
            <a:t>1)</a:t>
          </a:r>
          <a:endParaRPr lang="ru-RU" sz="1050">
            <a:latin typeface="Times New Roman"/>
            <a:cs typeface="Times New Roman"/>
          </a:endParaRPr>
        </a:p>
      </xdr:txBody>
    </xdr:sp>
    <xdr:clientData/>
  </xdr:oneCellAnchor>
  <xdr:oneCellAnchor>
    <xdr:from>
      <xdr:col>20</xdr:col>
      <xdr:colOff>139695</xdr:colOff>
      <xdr:row>29</xdr:row>
      <xdr:rowOff>168276</xdr:rowOff>
    </xdr:from>
    <xdr:ext cx="259430" cy="195565"/>
    <xdr:sp macro="" textlink="">
      <xdr:nvSpPr>
        <xdr:cNvPr id="4" name="TextBox 3"/>
        <xdr:cNvSpPr txBox="1"/>
      </xdr:nvSpPr>
      <xdr:spPr bwMode="auto">
        <a:xfrm>
          <a:off x="12416362" y="5692776"/>
          <a:ext cx="259430" cy="19556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r>
            <a:rPr lang="ru-RU" sz="700">
              <a:latin typeface="Times New Roman"/>
              <a:cs typeface="Times New Roman"/>
            </a:rPr>
            <a:t>1)</a:t>
          </a:r>
          <a:endParaRPr lang="ru-RU" sz="1050">
            <a:latin typeface="Times New Roman"/>
            <a:cs typeface="Times New Roman"/>
          </a:endParaRPr>
        </a:p>
      </xdr:txBody>
    </xdr:sp>
    <xdr:clientData/>
  </xdr:oneCellAnchor>
  <xdr:oneCellAnchor>
    <xdr:from>
      <xdr:col>21</xdr:col>
      <xdr:colOff>476254</xdr:colOff>
      <xdr:row>29</xdr:row>
      <xdr:rowOff>179917</xdr:rowOff>
    </xdr:from>
    <xdr:ext cx="259430" cy="195565"/>
    <xdr:sp macro="" textlink="">
      <xdr:nvSpPr>
        <xdr:cNvPr id="5" name="TextBox 4"/>
        <xdr:cNvSpPr txBox="1"/>
      </xdr:nvSpPr>
      <xdr:spPr bwMode="auto">
        <a:xfrm>
          <a:off x="13366754" y="5704417"/>
          <a:ext cx="259430" cy="19556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r>
            <a:rPr lang="ru-RU" sz="700">
              <a:latin typeface="Times New Roman"/>
              <a:cs typeface="Times New Roman"/>
            </a:rPr>
            <a:t>1)</a:t>
          </a:r>
          <a:endParaRPr lang="ru-RU" sz="1050">
            <a:latin typeface="Times New Roman"/>
            <a:cs typeface="Times New Roman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selection activeCell="B7" sqref="B7"/>
    </sheetView>
  </sheetViews>
  <sheetFormatPr defaultRowHeight="15" x14ac:dyDescent="0.25"/>
  <cols>
    <col min="10" max="10" width="16.28515625" customWidth="1"/>
  </cols>
  <sheetData>
    <row r="1" spans="1:10" s="111" customFormat="1" x14ac:dyDescent="0.25">
      <c r="A1" s="149" t="s">
        <v>0</v>
      </c>
      <c r="B1" s="149"/>
      <c r="C1" s="149"/>
    </row>
    <row r="3" spans="1:10" s="111" customFormat="1" x14ac:dyDescent="0.25">
      <c r="A3" s="115" t="s">
        <v>1</v>
      </c>
      <c r="B3" s="150" t="s">
        <v>65</v>
      </c>
      <c r="C3" s="150"/>
      <c r="D3" s="150"/>
      <c r="E3" s="150"/>
      <c r="F3" s="150"/>
      <c r="G3" s="150"/>
      <c r="H3" s="150"/>
      <c r="I3" s="150"/>
      <c r="J3" s="150"/>
    </row>
    <row r="4" spans="1:10" s="111" customFormat="1" x14ac:dyDescent="0.25">
      <c r="A4" s="115" t="s">
        <v>2</v>
      </c>
      <c r="B4" s="150" t="s">
        <v>66</v>
      </c>
      <c r="C4" s="150"/>
      <c r="D4" s="150"/>
      <c r="E4" s="150"/>
      <c r="F4" s="150"/>
      <c r="G4" s="150"/>
      <c r="H4" s="150"/>
      <c r="I4" s="150"/>
      <c r="J4" s="150"/>
    </row>
    <row r="5" spans="1:10" s="111" customFormat="1" x14ac:dyDescent="0.25">
      <c r="A5" s="115" t="s">
        <v>3</v>
      </c>
      <c r="B5" s="151" t="s">
        <v>4</v>
      </c>
      <c r="C5" s="151"/>
      <c r="D5" s="151"/>
      <c r="E5" s="151"/>
      <c r="F5" s="151"/>
      <c r="G5" s="151"/>
      <c r="H5" s="151"/>
      <c r="I5" s="151"/>
      <c r="J5" s="151"/>
    </row>
    <row r="6" spans="1:10" s="111" customFormat="1" x14ac:dyDescent="0.25">
      <c r="A6" s="115" t="s">
        <v>5</v>
      </c>
      <c r="B6" s="114" t="s">
        <v>67</v>
      </c>
    </row>
    <row r="7" spans="1:10" x14ac:dyDescent="0.25">
      <c r="A7" s="1"/>
    </row>
    <row r="9" spans="1:10" ht="15.75" x14ac:dyDescent="0.25">
      <c r="B9" s="2" t="s">
        <v>6</v>
      </c>
    </row>
    <row r="10" spans="1:10" ht="15.75" x14ac:dyDescent="0.25">
      <c r="B10" s="3" t="s">
        <v>7</v>
      </c>
    </row>
    <row r="11" spans="1:10" ht="15.75" x14ac:dyDescent="0.25">
      <c r="B11" s="3" t="s">
        <v>8</v>
      </c>
    </row>
    <row r="12" spans="1:10" ht="15.75" x14ac:dyDescent="0.25">
      <c r="B12" s="3"/>
    </row>
    <row r="14" spans="1:10" ht="15.75" x14ac:dyDescent="0.25">
      <c r="B14" s="4"/>
    </row>
  </sheetData>
  <mergeCells count="4">
    <mergeCell ref="A1:C1"/>
    <mergeCell ref="B3:J3"/>
    <mergeCell ref="B4:J4"/>
    <mergeCell ref="B5:J5"/>
  </mergeCells>
  <hyperlinks>
    <hyperlink ref="B3:J3" location="'1'!A1" display="Перевозки грузов по видам транспорта по Российской Федерации (с 2000 по 2023 год)"/>
    <hyperlink ref="B4:J4" location="'2'!A1" display="Структура перевозок грузов по видам транспорта по Российской Федерации (с 2000 по 2023 год)"/>
    <hyperlink ref="B5:J5" location="'3'!A1" display="Диаграмма"/>
    <hyperlink ref="B6" location="'4'!A1" display="Перевозки грузов по видам транспорта по Российской Федерации по месяцам  (оперативная информация, с 2022 года)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56"/>
  <sheetViews>
    <sheetView zoomScale="80" zoomScaleNormal="80" workbookViewId="0">
      <pane xSplit="1" ySplit="5" topLeftCell="B6" activePane="bottomRight" state="frozen"/>
      <selection activeCell="Y6" sqref="Y6"/>
      <selection pane="topRight"/>
      <selection pane="bottomLeft"/>
      <selection pane="bottomRight" activeCell="Z5" sqref="Z5"/>
    </sheetView>
  </sheetViews>
  <sheetFormatPr defaultRowHeight="15.75" x14ac:dyDescent="0.25"/>
  <cols>
    <col min="1" max="1" width="30.7109375" style="5" customWidth="1"/>
    <col min="2" max="15" width="9.7109375" style="5" customWidth="1"/>
    <col min="16" max="18" width="9.7109375" customWidth="1"/>
    <col min="19" max="22" width="9.7109375" style="6" customWidth="1"/>
    <col min="23" max="26" width="9.7109375" customWidth="1"/>
  </cols>
  <sheetData>
    <row r="1" spans="1:26" s="111" customFormat="1" x14ac:dyDescent="0.25">
      <c r="A1" s="122" t="s">
        <v>23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S1" s="6"/>
      <c r="T1" s="6"/>
      <c r="U1" s="6"/>
      <c r="V1" s="6"/>
    </row>
    <row r="2" spans="1:26" ht="20.100000000000001" customHeight="1" x14ac:dyDescent="0.3">
      <c r="B2" s="155" t="s">
        <v>9</v>
      </c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</row>
    <row r="3" spans="1:26" ht="15" customHeight="1" x14ac:dyDescent="0.25">
      <c r="B3" s="154" t="s">
        <v>10</v>
      </c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</row>
    <row r="4" spans="1:26" s="7" customFormat="1" ht="15" customHeight="1" x14ac:dyDescent="0.25">
      <c r="A4" s="124"/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</row>
    <row r="5" spans="1:26" s="7" customFormat="1" ht="18.75" x14ac:dyDescent="0.25">
      <c r="A5" s="8"/>
      <c r="B5" s="9">
        <v>2000</v>
      </c>
      <c r="C5" s="9">
        <v>2001</v>
      </c>
      <c r="D5" s="9">
        <v>2002</v>
      </c>
      <c r="E5" s="9">
        <v>2003</v>
      </c>
      <c r="F5" s="9">
        <v>2004</v>
      </c>
      <c r="G5" s="9">
        <v>2005</v>
      </c>
      <c r="H5" s="9">
        <v>2006</v>
      </c>
      <c r="I5" s="9">
        <v>2007</v>
      </c>
      <c r="J5" s="9">
        <v>2008</v>
      </c>
      <c r="K5" s="9">
        <v>2009</v>
      </c>
      <c r="L5" s="9">
        <v>2010</v>
      </c>
      <c r="M5" s="9">
        <v>2011</v>
      </c>
      <c r="N5" s="9">
        <v>2012</v>
      </c>
      <c r="O5" s="9">
        <v>2013</v>
      </c>
      <c r="P5" s="9">
        <v>2014</v>
      </c>
      <c r="Q5" s="9">
        <v>2015</v>
      </c>
      <c r="R5" s="9">
        <v>2016</v>
      </c>
      <c r="S5" s="9">
        <v>2017</v>
      </c>
      <c r="T5" s="9">
        <v>2018</v>
      </c>
      <c r="U5" s="9">
        <v>2019</v>
      </c>
      <c r="V5" s="9">
        <v>2020</v>
      </c>
      <c r="W5" s="9">
        <v>2021</v>
      </c>
      <c r="X5" s="9" t="s">
        <v>11</v>
      </c>
      <c r="Y5" s="9" t="s">
        <v>12</v>
      </c>
      <c r="Z5" s="9" t="s">
        <v>61</v>
      </c>
    </row>
    <row r="6" spans="1:26" ht="15" customHeight="1" x14ac:dyDescent="0.25">
      <c r="A6" s="10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3"/>
      <c r="R6" s="13"/>
      <c r="S6" s="13"/>
      <c r="T6" s="13"/>
      <c r="U6" s="13"/>
      <c r="V6" s="13"/>
      <c r="W6" s="13"/>
      <c r="X6" s="13"/>
      <c r="Y6" s="14"/>
      <c r="Z6" s="116"/>
    </row>
    <row r="7" spans="1:26" ht="20.100000000000001" customHeight="1" x14ac:dyDescent="0.25">
      <c r="A7" s="15" t="s">
        <v>13</v>
      </c>
      <c r="B7" s="16">
        <v>7907.0999999999995</v>
      </c>
      <c r="C7" s="17">
        <v>8200.4</v>
      </c>
      <c r="D7" s="17">
        <v>8487.5999999999985</v>
      </c>
      <c r="E7" s="17">
        <v>8767.6999999999989</v>
      </c>
      <c r="F7" s="17">
        <v>8978.2000000000007</v>
      </c>
      <c r="G7" s="17">
        <v>9167.1</v>
      </c>
      <c r="H7" s="17">
        <v>9300.7000000000007</v>
      </c>
      <c r="I7" s="17">
        <v>9450.6</v>
      </c>
      <c r="J7" s="17">
        <v>9451.1</v>
      </c>
      <c r="K7" s="17">
        <v>7469.4</v>
      </c>
      <c r="L7" s="17">
        <v>7750.4</v>
      </c>
      <c r="M7" s="17">
        <v>8337.1</v>
      </c>
      <c r="N7" s="17">
        <v>8519.2999999999993</v>
      </c>
      <c r="O7" s="17">
        <v>8264.5</v>
      </c>
      <c r="P7" s="17">
        <v>8006.5</v>
      </c>
      <c r="Q7" s="17">
        <v>7898</v>
      </c>
      <c r="R7" s="17">
        <v>7953.6</v>
      </c>
      <c r="S7" s="17">
        <v>8072.6</v>
      </c>
      <c r="T7" s="17">
        <v>8265.1</v>
      </c>
      <c r="U7" s="17">
        <v>8425.7000000000007</v>
      </c>
      <c r="V7" s="17">
        <v>7959.7</v>
      </c>
      <c r="W7" s="17">
        <v>8262.4</v>
      </c>
      <c r="X7" s="17">
        <v>8779.4</v>
      </c>
      <c r="Y7" s="17">
        <v>9059.2999999999993</v>
      </c>
      <c r="Z7" s="117">
        <v>9285.6</v>
      </c>
    </row>
    <row r="8" spans="1:26" ht="15" customHeight="1" x14ac:dyDescent="0.25">
      <c r="A8" s="18" t="s">
        <v>14</v>
      </c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1"/>
      <c r="Q8" s="21"/>
      <c r="R8" s="21"/>
      <c r="S8" s="22"/>
      <c r="T8" s="22"/>
      <c r="U8" s="22"/>
      <c r="V8" s="22"/>
      <c r="W8" s="21"/>
      <c r="X8" s="21"/>
      <c r="Y8" s="21"/>
      <c r="Z8" s="118"/>
    </row>
    <row r="9" spans="1:26" ht="20.100000000000001" customHeight="1" x14ac:dyDescent="0.25">
      <c r="A9" s="23" t="s">
        <v>15</v>
      </c>
      <c r="B9" s="24">
        <v>1046.8</v>
      </c>
      <c r="C9" s="25">
        <v>1057.5</v>
      </c>
      <c r="D9" s="25">
        <v>1083.7</v>
      </c>
      <c r="E9" s="25">
        <v>1160.9000000000001</v>
      </c>
      <c r="F9" s="25">
        <v>1221.2</v>
      </c>
      <c r="G9" s="25">
        <v>1273.3</v>
      </c>
      <c r="H9" s="25">
        <v>1311.6</v>
      </c>
      <c r="I9" s="25">
        <v>1344.6</v>
      </c>
      <c r="J9" s="25">
        <v>1304.4000000000001</v>
      </c>
      <c r="K9" s="25">
        <v>1108.8</v>
      </c>
      <c r="L9" s="25">
        <v>1312</v>
      </c>
      <c r="M9" s="25">
        <v>1381.7</v>
      </c>
      <c r="N9" s="25">
        <v>1421.1</v>
      </c>
      <c r="O9" s="25">
        <v>1381.2</v>
      </c>
      <c r="P9" s="25">
        <v>1375.4</v>
      </c>
      <c r="Q9" s="25">
        <v>1329</v>
      </c>
      <c r="R9" s="25">
        <v>1325.2</v>
      </c>
      <c r="S9" s="25">
        <v>1384.3</v>
      </c>
      <c r="T9" s="25">
        <v>1410.9</v>
      </c>
      <c r="U9" s="25">
        <v>1398.6</v>
      </c>
      <c r="V9" s="25">
        <v>1358.5</v>
      </c>
      <c r="W9" s="25">
        <v>1403.9</v>
      </c>
      <c r="X9" s="25">
        <v>1351.3</v>
      </c>
      <c r="Y9" s="25">
        <v>1365.2</v>
      </c>
      <c r="Z9" s="119">
        <v>1306.0999999999999</v>
      </c>
    </row>
    <row r="10" spans="1:26" ht="20.100000000000001" customHeight="1" x14ac:dyDescent="0.25">
      <c r="A10" s="26" t="s">
        <v>16</v>
      </c>
      <c r="B10" s="24">
        <v>5878.4</v>
      </c>
      <c r="C10" s="25">
        <v>6125.3</v>
      </c>
      <c r="D10" s="25">
        <v>6347.7</v>
      </c>
      <c r="E10" s="25">
        <v>6468.1</v>
      </c>
      <c r="F10" s="25">
        <v>6567.8</v>
      </c>
      <c r="G10" s="25">
        <v>6684.6</v>
      </c>
      <c r="H10" s="25">
        <v>6753.3</v>
      </c>
      <c r="I10" s="25">
        <v>6861.4</v>
      </c>
      <c r="J10" s="25">
        <v>6893.1</v>
      </c>
      <c r="K10" s="25">
        <v>5240.5</v>
      </c>
      <c r="L10" s="25">
        <v>5236.3999999999996</v>
      </c>
      <c r="M10" s="25">
        <v>5663.1</v>
      </c>
      <c r="N10" s="25">
        <v>5841.6</v>
      </c>
      <c r="O10" s="25">
        <v>5635.3</v>
      </c>
      <c r="P10" s="25">
        <v>5416.7</v>
      </c>
      <c r="Q10" s="25">
        <v>5356.7</v>
      </c>
      <c r="R10" s="25">
        <v>5396.8</v>
      </c>
      <c r="S10" s="25">
        <v>5403.9</v>
      </c>
      <c r="T10" s="25">
        <v>5544.4</v>
      </c>
      <c r="U10" s="25">
        <v>5735.3</v>
      </c>
      <c r="V10" s="25">
        <v>5404.7</v>
      </c>
      <c r="W10" s="25">
        <v>5581.7</v>
      </c>
      <c r="X10" s="25">
        <v>6210.6</v>
      </c>
      <c r="Y10" s="25">
        <v>6491.2</v>
      </c>
      <c r="Z10" s="119">
        <v>6775.9</v>
      </c>
    </row>
    <row r="11" spans="1:26" ht="20.100000000000001" customHeight="1" x14ac:dyDescent="0.25">
      <c r="A11" s="23" t="s">
        <v>17</v>
      </c>
      <c r="B11" s="24">
        <v>828.9</v>
      </c>
      <c r="C11" s="25">
        <v>853.4</v>
      </c>
      <c r="D11" s="25">
        <v>899.3</v>
      </c>
      <c r="E11" s="25">
        <v>976.4</v>
      </c>
      <c r="F11" s="25">
        <v>1024.2</v>
      </c>
      <c r="G11" s="25">
        <v>1048.0999999999999</v>
      </c>
      <c r="H11" s="25">
        <v>1070.3</v>
      </c>
      <c r="I11" s="25">
        <v>1062.0999999999999</v>
      </c>
      <c r="J11" s="25">
        <v>1066.5999999999999</v>
      </c>
      <c r="K11" s="25">
        <v>985</v>
      </c>
      <c r="L11" s="25">
        <v>1061.5</v>
      </c>
      <c r="M11" s="25">
        <v>1130.9000000000001</v>
      </c>
      <c r="N11" s="25">
        <v>1096.5</v>
      </c>
      <c r="O11" s="25">
        <v>1095.2</v>
      </c>
      <c r="P11" s="25">
        <v>1078.0999999999999</v>
      </c>
      <c r="Q11" s="25">
        <v>1071</v>
      </c>
      <c r="R11" s="25">
        <v>1088</v>
      </c>
      <c r="S11" s="25">
        <v>1138.2</v>
      </c>
      <c r="T11" s="25">
        <v>1169.3</v>
      </c>
      <c r="U11" s="25">
        <v>1159.2</v>
      </c>
      <c r="V11" s="25">
        <v>1061.4000000000001</v>
      </c>
      <c r="W11" s="25">
        <v>1141.4000000000001</v>
      </c>
      <c r="X11" s="25">
        <v>1072.8</v>
      </c>
      <c r="Y11" s="25">
        <v>1059.7</v>
      </c>
      <c r="Z11" s="119">
        <v>1065.7</v>
      </c>
    </row>
    <row r="12" spans="1:26" s="7" customFormat="1" ht="15" customHeight="1" x14ac:dyDescent="0.25">
      <c r="A12" s="147" t="s">
        <v>14</v>
      </c>
      <c r="B12" s="24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119"/>
    </row>
    <row r="13" spans="1:26" s="7" customFormat="1" ht="20.100000000000001" customHeight="1" x14ac:dyDescent="0.25">
      <c r="A13" s="148" t="s">
        <v>69</v>
      </c>
      <c r="B13" s="27">
        <v>511.2</v>
      </c>
      <c r="C13" s="28">
        <v>508.8</v>
      </c>
      <c r="D13" s="28">
        <v>513.79999999999995</v>
      </c>
      <c r="E13" s="28">
        <v>544.5</v>
      </c>
      <c r="F13" s="28">
        <v>555.1</v>
      </c>
      <c r="G13" s="28">
        <v>565.79999999999995</v>
      </c>
      <c r="H13" s="28">
        <v>581.1</v>
      </c>
      <c r="I13" s="28">
        <v>571.6</v>
      </c>
      <c r="J13" s="28">
        <v>578.6</v>
      </c>
      <c r="K13" s="28">
        <v>480</v>
      </c>
      <c r="L13" s="28">
        <v>536.6</v>
      </c>
      <c r="M13" s="28">
        <v>555.1</v>
      </c>
      <c r="N13" s="28">
        <v>541.1</v>
      </c>
      <c r="O13" s="28">
        <v>537.5</v>
      </c>
      <c r="P13" s="28">
        <v>512</v>
      </c>
      <c r="Q13" s="28">
        <v>493</v>
      </c>
      <c r="R13" s="28">
        <v>509.4</v>
      </c>
      <c r="S13" s="28">
        <v>548.79999999999995</v>
      </c>
      <c r="T13" s="28">
        <v>566.4</v>
      </c>
      <c r="U13" s="28">
        <v>550.9</v>
      </c>
      <c r="V13" s="28">
        <v>511.6</v>
      </c>
      <c r="W13" s="28">
        <v>574.6</v>
      </c>
      <c r="X13" s="25">
        <v>484.3</v>
      </c>
      <c r="Y13" s="28" t="s">
        <v>70</v>
      </c>
      <c r="Z13" s="120" t="s">
        <v>70</v>
      </c>
    </row>
    <row r="14" spans="1:26" s="7" customFormat="1" ht="20.100000000000001" customHeight="1" x14ac:dyDescent="0.25">
      <c r="A14" s="148" t="s">
        <v>71</v>
      </c>
      <c r="B14" s="27">
        <v>294.60000000000002</v>
      </c>
      <c r="C14" s="28">
        <v>319.7</v>
      </c>
      <c r="D14" s="28">
        <v>359.8</v>
      </c>
      <c r="E14" s="28">
        <v>404.3</v>
      </c>
      <c r="F14" s="28">
        <v>441.5</v>
      </c>
      <c r="G14" s="28">
        <v>454.1</v>
      </c>
      <c r="H14" s="28">
        <v>460.8</v>
      </c>
      <c r="I14" s="28">
        <v>461.8</v>
      </c>
      <c r="J14" s="28">
        <v>456.4</v>
      </c>
      <c r="K14" s="28">
        <v>474.4</v>
      </c>
      <c r="L14" s="28">
        <v>491.7</v>
      </c>
      <c r="M14" s="28">
        <v>543.79999999999995</v>
      </c>
      <c r="N14" s="28">
        <v>523.4</v>
      </c>
      <c r="O14" s="28">
        <v>524.6</v>
      </c>
      <c r="P14" s="28">
        <v>532.1</v>
      </c>
      <c r="Q14" s="28">
        <v>543.29999999999995</v>
      </c>
      <c r="R14" s="28">
        <v>543.4</v>
      </c>
      <c r="S14" s="28">
        <v>553.4</v>
      </c>
      <c r="T14" s="28">
        <v>561.1</v>
      </c>
      <c r="U14" s="28">
        <v>567.70000000000005</v>
      </c>
      <c r="V14" s="28">
        <v>509.5</v>
      </c>
      <c r="W14" s="28">
        <v>523.9</v>
      </c>
      <c r="X14" s="25">
        <v>544.4</v>
      </c>
      <c r="Y14" s="28" t="s">
        <v>70</v>
      </c>
      <c r="Z14" s="120" t="s">
        <v>70</v>
      </c>
    </row>
    <row r="15" spans="1:26" s="7" customFormat="1" ht="20.100000000000001" customHeight="1" x14ac:dyDescent="0.25">
      <c r="A15" s="148" t="s">
        <v>72</v>
      </c>
      <c r="B15" s="27">
        <v>23.1</v>
      </c>
      <c r="C15" s="28">
        <v>24.9</v>
      </c>
      <c r="D15" s="28">
        <v>25.7</v>
      </c>
      <c r="E15" s="28">
        <v>27.6</v>
      </c>
      <c r="F15" s="28">
        <v>27.6</v>
      </c>
      <c r="G15" s="28">
        <v>28.2</v>
      </c>
      <c r="H15" s="28">
        <v>28.4</v>
      </c>
      <c r="I15" s="28">
        <v>28.7</v>
      </c>
      <c r="J15" s="28">
        <v>31.6</v>
      </c>
      <c r="K15" s="28">
        <v>30.6</v>
      </c>
      <c r="L15" s="28">
        <v>33.200000000000003</v>
      </c>
      <c r="M15" s="28">
        <v>32</v>
      </c>
      <c r="N15" s="28">
        <v>32</v>
      </c>
      <c r="O15" s="28">
        <v>33.1</v>
      </c>
      <c r="P15" s="28">
        <v>34</v>
      </c>
      <c r="Q15" s="28">
        <v>34.700000000000003</v>
      </c>
      <c r="R15" s="28">
        <v>35.200000000000003</v>
      </c>
      <c r="S15" s="28">
        <v>36.1</v>
      </c>
      <c r="T15" s="28">
        <v>41.8</v>
      </c>
      <c r="U15" s="28">
        <v>40.5</v>
      </c>
      <c r="V15" s="28">
        <v>40.4</v>
      </c>
      <c r="W15" s="28">
        <v>42.9</v>
      </c>
      <c r="X15" s="25">
        <v>44.1</v>
      </c>
      <c r="Y15" s="28" t="s">
        <v>70</v>
      </c>
      <c r="Z15" s="120" t="s">
        <v>70</v>
      </c>
    </row>
    <row r="16" spans="1:26" ht="20.100000000000001" customHeight="1" x14ac:dyDescent="0.25">
      <c r="A16" s="26" t="s">
        <v>18</v>
      </c>
      <c r="B16" s="24">
        <v>35.4</v>
      </c>
      <c r="C16" s="25">
        <v>33.799999999999997</v>
      </c>
      <c r="D16" s="25">
        <v>37.299999999999997</v>
      </c>
      <c r="E16" s="25">
        <v>35.700000000000003</v>
      </c>
      <c r="F16" s="25">
        <v>29.1</v>
      </c>
      <c r="G16" s="25">
        <v>26</v>
      </c>
      <c r="H16" s="25">
        <v>25.4</v>
      </c>
      <c r="I16" s="25">
        <v>28.1</v>
      </c>
      <c r="J16" s="25">
        <v>35.200000000000003</v>
      </c>
      <c r="K16" s="25">
        <v>37.4</v>
      </c>
      <c r="L16" s="25">
        <v>37</v>
      </c>
      <c r="M16" s="25">
        <v>34</v>
      </c>
      <c r="N16" s="25">
        <v>18.3</v>
      </c>
      <c r="O16" s="25">
        <v>16.7</v>
      </c>
      <c r="P16" s="25">
        <v>15.8</v>
      </c>
      <c r="Q16" s="25">
        <v>18.8</v>
      </c>
      <c r="R16" s="25">
        <v>24.6</v>
      </c>
      <c r="S16" s="25">
        <v>26.4</v>
      </c>
      <c r="T16" s="25">
        <v>23.2</v>
      </c>
      <c r="U16" s="25">
        <v>23.2</v>
      </c>
      <c r="V16" s="25">
        <v>24.7</v>
      </c>
      <c r="W16" s="25">
        <v>23.4</v>
      </c>
      <c r="X16" s="25">
        <v>27.6</v>
      </c>
      <c r="Y16" s="25">
        <v>33.200000000000003</v>
      </c>
      <c r="Z16" s="119">
        <v>31.9</v>
      </c>
    </row>
    <row r="17" spans="1:26" ht="20.100000000000001" customHeight="1" x14ac:dyDescent="0.25">
      <c r="A17" s="23" t="s">
        <v>19</v>
      </c>
      <c r="B17" s="27">
        <v>116.8</v>
      </c>
      <c r="C17" s="28">
        <v>129.5</v>
      </c>
      <c r="D17" s="28">
        <v>118.7</v>
      </c>
      <c r="E17" s="28">
        <v>125.8</v>
      </c>
      <c r="F17" s="28">
        <v>135</v>
      </c>
      <c r="G17" s="28">
        <v>134.19999999999999</v>
      </c>
      <c r="H17" s="28">
        <v>139.19999999999999</v>
      </c>
      <c r="I17" s="28">
        <v>153.4</v>
      </c>
      <c r="J17" s="28">
        <v>150.80000000000001</v>
      </c>
      <c r="K17" s="28">
        <v>96.9</v>
      </c>
      <c r="L17" s="28">
        <v>102.4</v>
      </c>
      <c r="M17" s="28">
        <v>126.2</v>
      </c>
      <c r="N17" s="28">
        <v>140.5</v>
      </c>
      <c r="O17" s="28">
        <v>134.9</v>
      </c>
      <c r="P17" s="28">
        <v>119.1</v>
      </c>
      <c r="Q17" s="28">
        <v>121.4</v>
      </c>
      <c r="R17" s="28">
        <v>118</v>
      </c>
      <c r="S17" s="28">
        <v>118.5</v>
      </c>
      <c r="T17" s="28">
        <v>116.2</v>
      </c>
      <c r="U17" s="28">
        <v>108.2</v>
      </c>
      <c r="V17" s="28">
        <v>109</v>
      </c>
      <c r="W17" s="28">
        <v>110.5</v>
      </c>
      <c r="X17" s="28">
        <v>116.4</v>
      </c>
      <c r="Y17" s="28">
        <v>109.3</v>
      </c>
      <c r="Z17" s="120">
        <v>105.4</v>
      </c>
    </row>
    <row r="18" spans="1:26" ht="20.100000000000001" customHeight="1" x14ac:dyDescent="0.25">
      <c r="A18" s="29" t="s">
        <v>20</v>
      </c>
      <c r="B18" s="30">
        <v>0.8</v>
      </c>
      <c r="C18" s="31">
        <v>0.9</v>
      </c>
      <c r="D18" s="31">
        <v>0.9</v>
      </c>
      <c r="E18" s="31">
        <v>0.8</v>
      </c>
      <c r="F18" s="31">
        <v>0.9</v>
      </c>
      <c r="G18" s="31">
        <v>0.8</v>
      </c>
      <c r="H18" s="31">
        <v>0.9</v>
      </c>
      <c r="I18" s="31">
        <v>1</v>
      </c>
      <c r="J18" s="31">
        <v>1</v>
      </c>
      <c r="K18" s="31">
        <v>0.9</v>
      </c>
      <c r="L18" s="31">
        <v>1.1000000000000001</v>
      </c>
      <c r="M18" s="31">
        <v>1.2</v>
      </c>
      <c r="N18" s="31">
        <v>1.2</v>
      </c>
      <c r="O18" s="31">
        <v>1.2</v>
      </c>
      <c r="P18" s="31">
        <v>1.3</v>
      </c>
      <c r="Q18" s="31">
        <v>1</v>
      </c>
      <c r="R18" s="31">
        <v>1.1000000000000001</v>
      </c>
      <c r="S18" s="31">
        <v>1.3</v>
      </c>
      <c r="T18" s="31">
        <v>1.3</v>
      </c>
      <c r="U18" s="31">
        <v>1.3</v>
      </c>
      <c r="V18" s="31">
        <v>1.3</v>
      </c>
      <c r="W18" s="31">
        <v>1.6</v>
      </c>
      <c r="X18" s="31">
        <v>0.7</v>
      </c>
      <c r="Y18" s="31">
        <v>0.6</v>
      </c>
      <c r="Z18" s="121">
        <v>0.6</v>
      </c>
    </row>
    <row r="19" spans="1:2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26" ht="18.75" x14ac:dyDescent="0.25">
      <c r="A20" s="152" t="s">
        <v>21</v>
      </c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</row>
    <row r="21" spans="1:26" ht="18.75" x14ac:dyDescent="0.25">
      <c r="A21" s="153" t="s">
        <v>62</v>
      </c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Y21" s="33"/>
    </row>
    <row r="22" spans="1:26" ht="18.75" x14ac:dyDescent="0.25">
      <c r="A22" s="153" t="s">
        <v>63</v>
      </c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3"/>
      <c r="N22" s="153"/>
      <c r="O22" s="153"/>
      <c r="W22" s="34"/>
      <c r="X22" s="34"/>
      <c r="Y22" s="34"/>
    </row>
    <row r="23" spans="1:26" ht="18.75" x14ac:dyDescent="0.25">
      <c r="A23" s="32" t="s">
        <v>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26" x14ac:dyDescent="0.25">
      <c r="A24" s="35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</row>
    <row r="25" spans="1:26" x14ac:dyDescent="0.25">
      <c r="A25" s="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</row>
    <row r="26" spans="1:26" x14ac:dyDescent="0.25">
      <c r="A26" s="6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8"/>
      <c r="R26" s="38"/>
      <c r="S26" s="38"/>
      <c r="T26" s="38"/>
      <c r="U26" s="37"/>
      <c r="V26" s="37"/>
      <c r="W26" s="37"/>
      <c r="X26" s="37"/>
      <c r="Y26" s="37"/>
    </row>
    <row r="27" spans="1:26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26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26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26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26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1:26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spans="1:15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spans="1:15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spans="1:15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</row>
    <row r="40" spans="1:15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1:15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 spans="1:15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1:15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1:15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1:15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1:15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1:15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1:1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1:15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1:15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1:15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</sheetData>
  <mergeCells count="5">
    <mergeCell ref="A20:T20"/>
    <mergeCell ref="A21:O21"/>
    <mergeCell ref="A22:O22"/>
    <mergeCell ref="B3:Z3"/>
    <mergeCell ref="B2:Z2"/>
  </mergeCells>
  <hyperlinks>
    <hyperlink ref="A1" location="'Содержание'!A1" display="В содержание"/>
  </hyperlinks>
  <pageMargins left="0.70866141732283472" right="0.70866141732283472" top="0.74803149606299213" bottom="0.74803149606299213" header="0.31496062992125984" footer="0.31496062992125984"/>
  <pageSetup paperSize="9" scale="70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"/>
  <sheetViews>
    <sheetView zoomScale="90" zoomScaleNormal="90" workbookViewId="0">
      <pane xSplit="1" ySplit="5" topLeftCell="E6" activePane="bottomRight" state="frozen"/>
      <selection activeCell="Y3" sqref="Y3"/>
      <selection pane="topRight"/>
      <selection pane="bottomLeft"/>
      <selection pane="bottomRight" activeCell="A13" sqref="A13"/>
    </sheetView>
  </sheetViews>
  <sheetFormatPr defaultRowHeight="15" x14ac:dyDescent="0.25"/>
  <cols>
    <col min="1" max="1" width="30.7109375" customWidth="1"/>
    <col min="2" max="26" width="9.7109375" customWidth="1"/>
  </cols>
  <sheetData>
    <row r="1" spans="1:27" s="39" customFormat="1" x14ac:dyDescent="0.25">
      <c r="A1" s="122" t="s">
        <v>23</v>
      </c>
    </row>
    <row r="2" spans="1:27" s="39" customFormat="1" ht="20.100000000000001" customHeight="1" x14ac:dyDescent="0.25">
      <c r="A2" s="123"/>
      <c r="B2" s="156" t="s">
        <v>24</v>
      </c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</row>
    <row r="3" spans="1:27" s="39" customFormat="1" ht="15" customHeight="1" x14ac:dyDescent="0.25">
      <c r="B3" s="157" t="s">
        <v>25</v>
      </c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</row>
    <row r="4" spans="1:27" s="39" customFormat="1" x14ac:dyDescent="0.25"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</row>
    <row r="5" spans="1:27" s="132" customFormat="1" ht="20.100000000000001" customHeight="1" x14ac:dyDescent="0.25">
      <c r="A5" s="130"/>
      <c r="B5" s="41">
        <v>2000</v>
      </c>
      <c r="C5" s="41">
        <v>2001</v>
      </c>
      <c r="D5" s="41">
        <v>2002</v>
      </c>
      <c r="E5" s="131">
        <v>2003</v>
      </c>
      <c r="F5" s="131">
        <v>2004</v>
      </c>
      <c r="G5" s="41">
        <v>2005</v>
      </c>
      <c r="H5" s="131">
        <v>2006</v>
      </c>
      <c r="I5" s="41">
        <v>2007</v>
      </c>
      <c r="J5" s="40">
        <v>2008</v>
      </c>
      <c r="K5" s="41">
        <v>2009</v>
      </c>
      <c r="L5" s="40">
        <v>2010</v>
      </c>
      <c r="M5" s="41">
        <v>2011</v>
      </c>
      <c r="N5" s="40">
        <v>2012</v>
      </c>
      <c r="O5" s="41">
        <v>2013</v>
      </c>
      <c r="P5" s="40">
        <v>2014</v>
      </c>
      <c r="Q5" s="41">
        <v>2015</v>
      </c>
      <c r="R5" s="40">
        <v>2016</v>
      </c>
      <c r="S5" s="41">
        <v>2017</v>
      </c>
      <c r="T5" s="40">
        <v>2018</v>
      </c>
      <c r="U5" s="41">
        <v>2019</v>
      </c>
      <c r="V5" s="42">
        <v>2020</v>
      </c>
      <c r="W5" s="42">
        <v>2021</v>
      </c>
      <c r="X5" s="42">
        <v>2022</v>
      </c>
      <c r="Y5" s="42">
        <v>2023</v>
      </c>
      <c r="Z5" s="42">
        <v>2024</v>
      </c>
    </row>
    <row r="6" spans="1:27" s="39" customFormat="1" ht="15" customHeight="1" x14ac:dyDescent="0.25">
      <c r="A6" s="43"/>
      <c r="B6" s="44"/>
      <c r="C6" s="45"/>
      <c r="D6" s="44"/>
      <c r="E6" s="45"/>
      <c r="F6" s="44"/>
      <c r="G6" s="45"/>
      <c r="H6" s="44"/>
      <c r="I6" s="45"/>
      <c r="J6" s="44"/>
      <c r="K6" s="45"/>
      <c r="L6" s="44"/>
      <c r="M6" s="45"/>
      <c r="N6" s="44"/>
      <c r="O6" s="45"/>
      <c r="P6" s="44"/>
      <c r="Q6" s="45"/>
      <c r="R6" s="46"/>
      <c r="S6" s="47"/>
      <c r="T6" s="47"/>
      <c r="U6" s="46"/>
      <c r="V6" s="47"/>
      <c r="W6" s="47"/>
      <c r="X6" s="47"/>
      <c r="Y6" s="47"/>
      <c r="Z6" s="47"/>
    </row>
    <row r="7" spans="1:27" s="39" customFormat="1" ht="20.100000000000001" customHeight="1" x14ac:dyDescent="0.25">
      <c r="A7" s="126" t="s">
        <v>13</v>
      </c>
      <c r="B7" s="48">
        <f t="shared" ref="B7:V7" si="0">SUM(B9:B13)</f>
        <v>100.00999999999999</v>
      </c>
      <c r="C7" s="49">
        <f t="shared" si="0"/>
        <v>100.01</v>
      </c>
      <c r="D7" s="48">
        <f t="shared" si="0"/>
        <v>100.00999999999999</v>
      </c>
      <c r="E7" s="49">
        <f t="shared" si="0"/>
        <v>100.00999999999998</v>
      </c>
      <c r="F7" s="48">
        <f t="shared" si="0"/>
        <v>100.01</v>
      </c>
      <c r="G7" s="49">
        <f t="shared" si="0"/>
        <v>100.01</v>
      </c>
      <c r="H7" s="48">
        <f t="shared" si="0"/>
        <v>100.00999999999999</v>
      </c>
      <c r="I7" s="49">
        <f t="shared" si="0"/>
        <v>100.00999999999999</v>
      </c>
      <c r="J7" s="48">
        <f t="shared" si="0"/>
        <v>100.01</v>
      </c>
      <c r="K7" s="49">
        <f t="shared" si="0"/>
        <v>100.01</v>
      </c>
      <c r="L7" s="48">
        <f t="shared" si="0"/>
        <v>100.00999999999999</v>
      </c>
      <c r="M7" s="49">
        <f t="shared" si="0"/>
        <v>100.01</v>
      </c>
      <c r="N7" s="48">
        <f t="shared" si="0"/>
        <v>100.01000000000002</v>
      </c>
      <c r="O7" s="49">
        <f t="shared" si="0"/>
        <v>100.00999999999999</v>
      </c>
      <c r="P7" s="48">
        <f t="shared" si="0"/>
        <v>100.02000000000001</v>
      </c>
      <c r="Q7" s="49">
        <f t="shared" si="0"/>
        <v>100.00999999999999</v>
      </c>
      <c r="R7" s="48">
        <f t="shared" si="0"/>
        <v>100.01000000000002</v>
      </c>
      <c r="S7" s="49">
        <f t="shared" si="0"/>
        <v>100.02</v>
      </c>
      <c r="T7" s="49">
        <f t="shared" si="0"/>
        <v>100.02</v>
      </c>
      <c r="U7" s="48">
        <f t="shared" si="0"/>
        <v>100.02</v>
      </c>
      <c r="V7" s="49">
        <f t="shared" si="0"/>
        <v>100.02000000000001</v>
      </c>
      <c r="W7" s="49">
        <f>SUM(W9:W13)</f>
        <v>100.01999999999998</v>
      </c>
      <c r="X7" s="49">
        <f>SUM(X9:X13)</f>
        <v>100.01</v>
      </c>
      <c r="Y7" s="49">
        <f>SUM(Y9:Y13)</f>
        <v>100.00999999999999</v>
      </c>
      <c r="Z7" s="49">
        <f>SUM(Z9:Z13)</f>
        <v>100.01</v>
      </c>
    </row>
    <row r="8" spans="1:27" s="39" customFormat="1" ht="15" customHeight="1" x14ac:dyDescent="0.25">
      <c r="A8" s="127" t="s">
        <v>14</v>
      </c>
      <c r="B8" s="20"/>
      <c r="C8" s="50"/>
      <c r="D8" s="20"/>
      <c r="E8" s="50"/>
      <c r="F8" s="20"/>
      <c r="G8" s="50"/>
      <c r="H8" s="20"/>
      <c r="I8" s="50"/>
      <c r="J8" s="20"/>
      <c r="K8" s="50"/>
      <c r="L8" s="20"/>
      <c r="M8" s="50"/>
      <c r="N8" s="20"/>
      <c r="O8" s="50"/>
      <c r="P8" s="20"/>
      <c r="Q8" s="50"/>
      <c r="R8" s="20"/>
      <c r="S8" s="50"/>
      <c r="T8" s="50"/>
      <c r="U8" s="20"/>
      <c r="V8" s="50"/>
      <c r="W8" s="50"/>
      <c r="X8" s="50"/>
      <c r="Y8" s="50"/>
      <c r="Z8" s="50"/>
    </row>
    <row r="9" spans="1:27" s="39" customFormat="1" ht="20.100000000000001" customHeight="1" x14ac:dyDescent="0.25">
      <c r="A9" s="128" t="s">
        <v>15</v>
      </c>
      <c r="B9" s="51">
        <v>13.2</v>
      </c>
      <c r="C9" s="52">
        <v>12.9</v>
      </c>
      <c r="D9" s="51">
        <v>12.8</v>
      </c>
      <c r="E9" s="52">
        <v>13.2</v>
      </c>
      <c r="F9" s="51">
        <v>13.6</v>
      </c>
      <c r="G9" s="52">
        <v>13.9</v>
      </c>
      <c r="H9" s="51">
        <v>14.1</v>
      </c>
      <c r="I9" s="52">
        <v>14.2</v>
      </c>
      <c r="J9" s="51">
        <v>13.8</v>
      </c>
      <c r="K9" s="52">
        <v>14.8</v>
      </c>
      <c r="L9" s="51">
        <v>16.899999999999999</v>
      </c>
      <c r="M9" s="52">
        <v>16.600000000000001</v>
      </c>
      <c r="N9" s="51">
        <v>16.7</v>
      </c>
      <c r="O9" s="52">
        <v>16.7</v>
      </c>
      <c r="P9" s="51">
        <v>17.2</v>
      </c>
      <c r="Q9" s="52">
        <v>16.8</v>
      </c>
      <c r="R9" s="51">
        <v>16.7</v>
      </c>
      <c r="S9" s="52">
        <v>17.100000000000001</v>
      </c>
      <c r="T9" s="52">
        <v>17.100000000000001</v>
      </c>
      <c r="U9" s="20">
        <v>16.600000000000001</v>
      </c>
      <c r="V9" s="50">
        <v>17.100000000000001</v>
      </c>
      <c r="W9" s="52">
        <v>17</v>
      </c>
      <c r="X9" s="50">
        <v>15.5</v>
      </c>
      <c r="Y9" s="50">
        <v>15.1</v>
      </c>
      <c r="Z9" s="50">
        <v>14.1</v>
      </c>
    </row>
    <row r="10" spans="1:27" s="39" customFormat="1" ht="20.100000000000001" customHeight="1" x14ac:dyDescent="0.25">
      <c r="A10" s="128" t="s">
        <v>26</v>
      </c>
      <c r="B10" s="53">
        <v>0.01</v>
      </c>
      <c r="C10" s="54">
        <v>0.01</v>
      </c>
      <c r="D10" s="53">
        <v>0.01</v>
      </c>
      <c r="E10" s="54">
        <v>0.01</v>
      </c>
      <c r="F10" s="53">
        <v>0.01</v>
      </c>
      <c r="G10" s="54">
        <v>0.01</v>
      </c>
      <c r="H10" s="53">
        <v>0.01</v>
      </c>
      <c r="I10" s="54">
        <v>0.01</v>
      </c>
      <c r="J10" s="53">
        <v>0.01</v>
      </c>
      <c r="K10" s="54">
        <v>0.01</v>
      </c>
      <c r="L10" s="53">
        <v>0.01</v>
      </c>
      <c r="M10" s="54">
        <v>0.01</v>
      </c>
      <c r="N10" s="53">
        <v>0.01</v>
      </c>
      <c r="O10" s="54">
        <v>0.01</v>
      </c>
      <c r="P10" s="53">
        <v>0.02</v>
      </c>
      <c r="Q10" s="54">
        <v>0.01</v>
      </c>
      <c r="R10" s="53">
        <v>0.01</v>
      </c>
      <c r="S10" s="54">
        <v>0.02</v>
      </c>
      <c r="T10" s="55">
        <v>0.02</v>
      </c>
      <c r="U10" s="50">
        <v>0.02</v>
      </c>
      <c r="V10" s="56">
        <v>0.02</v>
      </c>
      <c r="W10" s="56">
        <v>0.02</v>
      </c>
      <c r="X10" s="56">
        <v>0.01</v>
      </c>
      <c r="Y10" s="56">
        <v>0.01</v>
      </c>
      <c r="Z10" s="56">
        <v>0.01</v>
      </c>
    </row>
    <row r="11" spans="1:27" s="39" customFormat="1" ht="20.100000000000001" customHeight="1" x14ac:dyDescent="0.25">
      <c r="A11" s="128" t="s">
        <v>16</v>
      </c>
      <c r="B11" s="51">
        <v>74.399999999999991</v>
      </c>
      <c r="C11" s="52">
        <v>74.7</v>
      </c>
      <c r="D11" s="51">
        <v>74.8</v>
      </c>
      <c r="E11" s="52">
        <v>73.899999999999991</v>
      </c>
      <c r="F11" s="51">
        <v>73.2</v>
      </c>
      <c r="G11" s="52">
        <v>73</v>
      </c>
      <c r="H11" s="51">
        <v>72.599999999999994</v>
      </c>
      <c r="I11" s="52">
        <v>72.699999999999989</v>
      </c>
      <c r="J11" s="51">
        <v>72.900000000000006</v>
      </c>
      <c r="K11" s="52">
        <v>70.2</v>
      </c>
      <c r="L11" s="51">
        <v>67.599999999999994</v>
      </c>
      <c r="M11" s="52">
        <v>67.900000000000006</v>
      </c>
      <c r="N11" s="51">
        <v>68.5</v>
      </c>
      <c r="O11" s="52">
        <v>68.2</v>
      </c>
      <c r="P11" s="51">
        <v>67.600000000000009</v>
      </c>
      <c r="Q11" s="52">
        <v>67.8</v>
      </c>
      <c r="R11" s="51">
        <v>67.800000000000011</v>
      </c>
      <c r="S11" s="52">
        <v>67</v>
      </c>
      <c r="T11" s="57">
        <v>67.099999999999994</v>
      </c>
      <c r="U11" s="52">
        <v>68</v>
      </c>
      <c r="V11" s="58">
        <v>67.900000000000006</v>
      </c>
      <c r="W11" s="58">
        <v>67.599999999999994</v>
      </c>
      <c r="X11" s="58">
        <v>70.7</v>
      </c>
      <c r="Y11" s="58">
        <v>71.599999999999994</v>
      </c>
      <c r="Z11" s="58">
        <v>73</v>
      </c>
    </row>
    <row r="12" spans="1:27" s="39" customFormat="1" ht="20.100000000000001" customHeight="1" x14ac:dyDescent="0.25">
      <c r="A12" s="128" t="s">
        <v>27</v>
      </c>
      <c r="B12" s="51">
        <v>1.9</v>
      </c>
      <c r="C12" s="52">
        <v>2</v>
      </c>
      <c r="D12" s="51">
        <v>1.8</v>
      </c>
      <c r="E12" s="52">
        <v>1.8</v>
      </c>
      <c r="F12" s="51">
        <v>1.8</v>
      </c>
      <c r="G12" s="52">
        <v>1.7</v>
      </c>
      <c r="H12" s="51">
        <v>1.8</v>
      </c>
      <c r="I12" s="52">
        <v>1.9</v>
      </c>
      <c r="J12" s="51">
        <v>2</v>
      </c>
      <c r="K12" s="52">
        <v>1.8</v>
      </c>
      <c r="L12" s="51">
        <v>1.8</v>
      </c>
      <c r="M12" s="52">
        <v>1.9</v>
      </c>
      <c r="N12" s="51">
        <v>1.9</v>
      </c>
      <c r="O12" s="52">
        <v>1.8</v>
      </c>
      <c r="P12" s="51">
        <v>1.7</v>
      </c>
      <c r="Q12" s="52">
        <v>1.8</v>
      </c>
      <c r="R12" s="51">
        <v>1.8</v>
      </c>
      <c r="S12" s="52">
        <v>1.8</v>
      </c>
      <c r="T12" s="57">
        <v>1.7</v>
      </c>
      <c r="U12" s="50">
        <v>1.6</v>
      </c>
      <c r="V12" s="59">
        <v>1.7</v>
      </c>
      <c r="W12" s="59">
        <v>1.6</v>
      </c>
      <c r="X12" s="59">
        <v>1.6</v>
      </c>
      <c r="Y12" s="59">
        <v>1.6</v>
      </c>
      <c r="Z12" s="59">
        <v>1.4</v>
      </c>
    </row>
    <row r="13" spans="1:27" s="39" customFormat="1" ht="20.100000000000001" customHeight="1" x14ac:dyDescent="0.25">
      <c r="A13" s="129" t="s">
        <v>17</v>
      </c>
      <c r="B13" s="61">
        <v>10.5</v>
      </c>
      <c r="C13" s="62">
        <v>10.4</v>
      </c>
      <c r="D13" s="61">
        <v>10.6</v>
      </c>
      <c r="E13" s="62">
        <v>11.1</v>
      </c>
      <c r="F13" s="61">
        <v>11.4</v>
      </c>
      <c r="G13" s="62">
        <v>11.4</v>
      </c>
      <c r="H13" s="61">
        <v>11.5</v>
      </c>
      <c r="I13" s="62">
        <v>11.2</v>
      </c>
      <c r="J13" s="61">
        <v>11.3</v>
      </c>
      <c r="K13" s="62">
        <v>13.2</v>
      </c>
      <c r="L13" s="61">
        <v>13.7</v>
      </c>
      <c r="M13" s="62">
        <v>13.6</v>
      </c>
      <c r="N13" s="61">
        <v>12.9</v>
      </c>
      <c r="O13" s="62">
        <v>13.3</v>
      </c>
      <c r="P13" s="61">
        <v>13.5</v>
      </c>
      <c r="Q13" s="62">
        <v>13.6</v>
      </c>
      <c r="R13" s="61">
        <v>13.7</v>
      </c>
      <c r="S13" s="62">
        <v>14.1</v>
      </c>
      <c r="T13" s="63">
        <v>14.1</v>
      </c>
      <c r="U13" s="60">
        <v>13.8</v>
      </c>
      <c r="V13" s="64">
        <v>13.3</v>
      </c>
      <c r="W13" s="65">
        <v>13.8</v>
      </c>
      <c r="X13" s="65">
        <v>12.2</v>
      </c>
      <c r="Y13" s="65">
        <v>11.7</v>
      </c>
      <c r="Z13" s="65">
        <v>11.5</v>
      </c>
    </row>
    <row r="14" spans="1:27" s="39" customFormat="1" x14ac:dyDescent="0.25"/>
    <row r="15" spans="1:27" s="66" customFormat="1" ht="18" x14ac:dyDescent="0.25">
      <c r="A15" s="169" t="s">
        <v>73</v>
      </c>
      <c r="B15" s="169"/>
      <c r="C15" s="169"/>
      <c r="D15" s="169"/>
      <c r="E15" s="169"/>
      <c r="F15" s="169"/>
      <c r="G15" s="169"/>
      <c r="H15" s="169"/>
      <c r="I15" s="169"/>
      <c r="J15" s="169"/>
      <c r="K15" s="169"/>
      <c r="L15" s="169"/>
      <c r="M15" s="169"/>
      <c r="N15" s="169"/>
      <c r="O15" s="169"/>
      <c r="P15" s="169"/>
      <c r="Q15" s="169"/>
      <c r="R15" s="169"/>
      <c r="S15" s="169"/>
      <c r="T15" s="169"/>
      <c r="V15" s="39"/>
      <c r="Z15" s="110"/>
      <c r="AA15" s="110"/>
    </row>
    <row r="16" spans="1:27" x14ac:dyDescent="0.25">
      <c r="V16" s="39"/>
      <c r="Z16" s="34"/>
      <c r="AA16" s="110"/>
    </row>
    <row r="17" spans="22:27" x14ac:dyDescent="0.25">
      <c r="V17" s="39"/>
      <c r="Z17" s="34"/>
      <c r="AA17" s="110"/>
    </row>
    <row r="18" spans="22:27" x14ac:dyDescent="0.25">
      <c r="V18" s="39"/>
      <c r="Z18" s="34"/>
      <c r="AA18" s="110"/>
    </row>
    <row r="19" spans="22:27" x14ac:dyDescent="0.25">
      <c r="V19" s="39"/>
      <c r="Z19" s="34"/>
      <c r="AA19" s="110"/>
    </row>
    <row r="20" spans="22:27" x14ac:dyDescent="0.25">
      <c r="V20" s="39"/>
      <c r="Z20" s="109"/>
      <c r="AA20" s="108"/>
    </row>
  </sheetData>
  <mergeCells count="3">
    <mergeCell ref="A15:T15"/>
    <mergeCell ref="B2:Z2"/>
    <mergeCell ref="B3:Z3"/>
  </mergeCells>
  <hyperlinks>
    <hyperlink ref="A1" location="'Содержание'!A1" display="В содержание"/>
  </hyperlinks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"/>
  <sheetViews>
    <sheetView zoomScale="90" zoomScaleNormal="90" workbookViewId="0">
      <selection activeCell="A2" sqref="A2"/>
    </sheetView>
  </sheetViews>
  <sheetFormatPr defaultRowHeight="15" x14ac:dyDescent="0.25"/>
  <sheetData>
    <row r="1" spans="1:1" s="111" customFormat="1" x14ac:dyDescent="0.25">
      <c r="A1" s="113" t="s">
        <v>23</v>
      </c>
    </row>
    <row r="36" spans="1:20" ht="18.75" x14ac:dyDescent="0.25">
      <c r="A36" s="152" t="s">
        <v>21</v>
      </c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</row>
  </sheetData>
  <mergeCells count="1">
    <mergeCell ref="A36:T36"/>
  </mergeCells>
  <hyperlinks>
    <hyperlink ref="A1" location="'Содержание'!A1" display="В содержание"/>
  </hyperlinks>
  <pageMargins left="0.7" right="0.7" top="0.75" bottom="0.75" header="0.3" footer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72"/>
  <sheetViews>
    <sheetView tabSelected="1" zoomScale="90" zoomScaleNormal="90" workbookViewId="0">
      <pane xSplit="2" ySplit="4" topLeftCell="C5" activePane="bottomRight" state="frozen"/>
      <selection activeCell="F4" sqref="F4"/>
      <selection pane="topRight"/>
      <selection pane="bottomLeft"/>
      <selection pane="bottomRight" activeCell="D4" sqref="D4"/>
    </sheetView>
  </sheetViews>
  <sheetFormatPr defaultRowHeight="15" x14ac:dyDescent="0.25"/>
  <cols>
    <col min="1" max="1" width="23.7109375" style="67" customWidth="1"/>
    <col min="2" max="2" width="20.7109375" style="67" customWidth="1"/>
    <col min="3" max="14" width="10.7109375" style="67" customWidth="1"/>
    <col min="16" max="17" width="14.85546875" customWidth="1"/>
  </cols>
  <sheetData>
    <row r="1" spans="1:14" s="111" customFormat="1" ht="15" customHeight="1" x14ac:dyDescent="0.25">
      <c r="A1" s="134" t="s">
        <v>23</v>
      </c>
      <c r="B1" s="67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</row>
    <row r="2" spans="1:14" s="146" customFormat="1" ht="20.100000000000001" customHeight="1" x14ac:dyDescent="0.25">
      <c r="A2" s="156" t="s">
        <v>28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</row>
    <row r="3" spans="1:14" ht="15" customHeight="1" x14ac:dyDescent="0.25"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61" t="s">
        <v>29</v>
      </c>
      <c r="N3" s="161"/>
    </row>
    <row r="4" spans="1:14" ht="15" customHeight="1" x14ac:dyDescent="0.25">
      <c r="A4" s="68"/>
      <c r="B4" s="69"/>
      <c r="C4" s="70" t="s">
        <v>30</v>
      </c>
      <c r="D4" s="70" t="s">
        <v>31</v>
      </c>
      <c r="E4" s="70" t="s">
        <v>32</v>
      </c>
      <c r="F4" s="70" t="s">
        <v>33</v>
      </c>
      <c r="G4" s="70" t="s">
        <v>34</v>
      </c>
      <c r="H4" s="70" t="s">
        <v>35</v>
      </c>
      <c r="I4" s="70" t="s">
        <v>36</v>
      </c>
      <c r="J4" s="70" t="s">
        <v>37</v>
      </c>
      <c r="K4" s="70" t="s">
        <v>38</v>
      </c>
      <c r="L4" s="70" t="s">
        <v>39</v>
      </c>
      <c r="M4" s="70" t="s">
        <v>40</v>
      </c>
      <c r="N4" s="70" t="s">
        <v>41</v>
      </c>
    </row>
    <row r="5" spans="1:14" ht="15" customHeight="1" x14ac:dyDescent="0.25">
      <c r="A5" s="68"/>
      <c r="B5" s="69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</row>
    <row r="6" spans="1:14" s="76" customFormat="1" ht="15" customHeight="1" x14ac:dyDescent="0.25">
      <c r="A6" s="162" t="s">
        <v>42</v>
      </c>
      <c r="B6" s="72">
        <v>2024</v>
      </c>
      <c r="C6" s="73">
        <f t="shared" ref="C6:N7" si="0">C28+C32+C40+C44+C48+C52</f>
        <v>655746.4</v>
      </c>
      <c r="D6" s="74">
        <f t="shared" ref="D6:N6" si="1">D28+D32+D40+D44+D48+D52</f>
        <v>693560.9</v>
      </c>
      <c r="E6" s="74">
        <f t="shared" si="1"/>
        <v>743503.59999999986</v>
      </c>
      <c r="F6" s="74">
        <f t="shared" si="1"/>
        <v>716856.39999999979</v>
      </c>
      <c r="G6" s="74">
        <f t="shared" si="1"/>
        <v>768174</v>
      </c>
      <c r="H6" s="74">
        <f t="shared" si="1"/>
        <v>785886.2</v>
      </c>
      <c r="I6" s="74">
        <f t="shared" si="1"/>
        <v>851929.50000000012</v>
      </c>
      <c r="J6" s="74">
        <f t="shared" si="1"/>
        <v>858506.20000000007</v>
      </c>
      <c r="K6" s="74">
        <f t="shared" si="1"/>
        <v>834003.7</v>
      </c>
      <c r="L6" s="74">
        <f t="shared" si="1"/>
        <v>803058.99999999988</v>
      </c>
      <c r="M6" s="74">
        <f t="shared" si="1"/>
        <v>722790.20000000007</v>
      </c>
      <c r="N6" s="75">
        <f t="shared" si="1"/>
        <v>729272.8</v>
      </c>
    </row>
    <row r="7" spans="1:14" s="76" customFormat="1" ht="15" customHeight="1" x14ac:dyDescent="0.25">
      <c r="A7" s="163"/>
      <c r="B7" s="72">
        <v>2025</v>
      </c>
      <c r="C7" s="77">
        <f t="shared" si="0"/>
        <v>646267.99999999988</v>
      </c>
      <c r="D7" s="78">
        <f t="shared" si="0"/>
        <v>686905.99999999988</v>
      </c>
      <c r="E7" s="78">
        <f t="shared" si="0"/>
        <v>743146</v>
      </c>
      <c r="F7" s="78">
        <f t="shared" si="0"/>
        <v>742557.80000000016</v>
      </c>
      <c r="G7" s="78">
        <f t="shared" si="0"/>
        <v>735839.89999999991</v>
      </c>
      <c r="H7" s="78">
        <f t="shared" si="0"/>
        <v>783102.00000000012</v>
      </c>
      <c r="I7" s="78">
        <f t="shared" si="0"/>
        <v>845524.79999999993</v>
      </c>
      <c r="J7" s="78">
        <f t="shared" si="0"/>
        <v>855814.7</v>
      </c>
      <c r="K7" s="78">
        <f t="shared" si="0"/>
        <v>859762.7</v>
      </c>
      <c r="L7" s="78">
        <f t="shared" si="0"/>
        <v>818718.5</v>
      </c>
      <c r="M7" s="78">
        <f t="shared" si="0"/>
        <v>719850.2</v>
      </c>
      <c r="N7" s="79">
        <f t="shared" si="0"/>
        <v>734303.39999999991</v>
      </c>
    </row>
    <row r="8" spans="1:14" s="76" customFormat="1" ht="15" customHeight="1" x14ac:dyDescent="0.25">
      <c r="A8" s="163"/>
      <c r="B8" s="80" t="s">
        <v>43</v>
      </c>
      <c r="C8" s="81">
        <f>C7/C6*100</f>
        <v>98.554563166492386</v>
      </c>
      <c r="D8" s="82">
        <f t="shared" ref="D8:N8" si="2">D7/D6*100</f>
        <v>99.040473590711329</v>
      </c>
      <c r="E8" s="82">
        <f t="shared" si="2"/>
        <v>99.951903393608333</v>
      </c>
      <c r="F8" s="82">
        <f t="shared" si="2"/>
        <v>103.58529267507417</v>
      </c>
      <c r="G8" s="82">
        <f t="shared" si="2"/>
        <v>95.790784379580657</v>
      </c>
      <c r="H8" s="82">
        <f t="shared" si="2"/>
        <v>99.645724788143653</v>
      </c>
      <c r="I8" s="82">
        <f t="shared" si="2"/>
        <v>99.248212440113861</v>
      </c>
      <c r="J8" s="82">
        <f t="shared" si="2"/>
        <v>99.686490324705858</v>
      </c>
      <c r="K8" s="82">
        <f t="shared" si="2"/>
        <v>103.08859541030813</v>
      </c>
      <c r="L8" s="82">
        <f t="shared" si="2"/>
        <v>101.94998125916031</v>
      </c>
      <c r="M8" s="82">
        <f t="shared" si="2"/>
        <v>99.593242963172429</v>
      </c>
      <c r="N8" s="83">
        <f t="shared" si="2"/>
        <v>100.68981045227518</v>
      </c>
    </row>
    <row r="9" spans="1:14" s="76" customFormat="1" ht="15" customHeight="1" x14ac:dyDescent="0.25">
      <c r="A9" s="163"/>
      <c r="B9" s="70" t="s">
        <v>44</v>
      </c>
      <c r="C9" s="84">
        <f>C7/N6*100</f>
        <v>88.618141249749044</v>
      </c>
      <c r="D9" s="82">
        <f>D7/C7*100</f>
        <v>106.28810338744915</v>
      </c>
      <c r="E9" s="82">
        <f t="shared" ref="E9:K9" si="3">E7/D7*100</f>
        <v>108.18743758243488</v>
      </c>
      <c r="F9" s="82">
        <f t="shared" si="3"/>
        <v>99.920850007939237</v>
      </c>
      <c r="G9" s="82">
        <f t="shared" si="3"/>
        <v>99.095302749496369</v>
      </c>
      <c r="H9" s="82">
        <f t="shared" si="3"/>
        <v>106.42287812878864</v>
      </c>
      <c r="I9" s="82">
        <f t="shared" si="3"/>
        <v>107.97122213964462</v>
      </c>
      <c r="J9" s="82">
        <f t="shared" si="3"/>
        <v>101.21698381880697</v>
      </c>
      <c r="K9" s="82">
        <f t="shared" si="3"/>
        <v>100.46131481499441</v>
      </c>
      <c r="L9" s="82">
        <f>L7/K7*100</f>
        <v>95.226101341684171</v>
      </c>
      <c r="M9" s="82">
        <f>M7/L7*100</f>
        <v>87.924017840075678</v>
      </c>
      <c r="N9" s="83">
        <f>N7/M7*100</f>
        <v>102.00780662421154</v>
      </c>
    </row>
    <row r="10" spans="1:14" s="76" customFormat="1" ht="15" customHeight="1" x14ac:dyDescent="0.25">
      <c r="A10" s="163"/>
      <c r="B10" s="72">
        <v>2026</v>
      </c>
      <c r="C10" s="145">
        <f>C30+C34+C42+C46+C50+C54</f>
        <v>626476.9</v>
      </c>
      <c r="D10" s="137">
        <f t="shared" ref="D10:M10" si="4">D30+D34+D42+D46+D50+D54</f>
        <v>671503.3</v>
      </c>
      <c r="E10" s="137">
        <f t="shared" si="4"/>
        <v>0</v>
      </c>
      <c r="F10" s="137">
        <f t="shared" si="4"/>
        <v>0</v>
      </c>
      <c r="G10" s="137">
        <f>G30+G34+G42+G46+G50+G54</f>
        <v>0</v>
      </c>
      <c r="H10" s="137">
        <f t="shared" si="4"/>
        <v>0</v>
      </c>
      <c r="I10" s="137">
        <f t="shared" si="4"/>
        <v>0</v>
      </c>
      <c r="J10" s="137">
        <f t="shared" si="4"/>
        <v>0</v>
      </c>
      <c r="K10" s="137">
        <f t="shared" si="4"/>
        <v>0</v>
      </c>
      <c r="L10" s="137">
        <f t="shared" si="4"/>
        <v>0</v>
      </c>
      <c r="M10" s="137">
        <f t="shared" si="4"/>
        <v>0</v>
      </c>
      <c r="N10" s="85">
        <f>N30+N34+N42+N46+N50+N54</f>
        <v>0</v>
      </c>
    </row>
    <row r="11" spans="1:14" s="76" customFormat="1" ht="15" customHeight="1" x14ac:dyDescent="0.25">
      <c r="A11" s="163"/>
      <c r="B11" s="80" t="s">
        <v>43</v>
      </c>
      <c r="C11" s="81">
        <f t="shared" ref="C11:I11" si="5">C10/C7*100</f>
        <v>96.937632684892364</v>
      </c>
      <c r="D11" s="82">
        <f t="shared" si="5"/>
        <v>97.757669899520479</v>
      </c>
      <c r="E11" s="82">
        <f t="shared" si="5"/>
        <v>0</v>
      </c>
      <c r="F11" s="82">
        <f t="shared" si="5"/>
        <v>0</v>
      </c>
      <c r="G11" s="82">
        <f t="shared" si="5"/>
        <v>0</v>
      </c>
      <c r="H11" s="82">
        <f t="shared" si="5"/>
        <v>0</v>
      </c>
      <c r="I11" s="82">
        <f t="shared" si="5"/>
        <v>0</v>
      </c>
      <c r="J11" s="82">
        <f t="shared" ref="J11:K11" si="6">J10/J7*100</f>
        <v>0</v>
      </c>
      <c r="K11" s="82">
        <f t="shared" si="6"/>
        <v>0</v>
      </c>
      <c r="L11" s="82">
        <f>L10/L7*100</f>
        <v>0</v>
      </c>
      <c r="M11" s="82">
        <f>M10/M7*100</f>
        <v>0</v>
      </c>
      <c r="N11" s="83">
        <f>N10/N7*100</f>
        <v>0</v>
      </c>
    </row>
    <row r="12" spans="1:14" s="76" customFormat="1" ht="15" customHeight="1" x14ac:dyDescent="0.25">
      <c r="A12" s="164"/>
      <c r="B12" s="70" t="s">
        <v>44</v>
      </c>
      <c r="C12" s="86">
        <f>C10/N7*100</f>
        <v>85.31581087599487</v>
      </c>
      <c r="D12" s="86">
        <f>IFERROR(D10/C10*100,0)</f>
        <v>107.18724026376711</v>
      </c>
      <c r="E12" s="86">
        <f t="shared" ref="E12:N12" si="7">IFERROR(E10/D10*100,0)</f>
        <v>0</v>
      </c>
      <c r="F12" s="86">
        <f t="shared" si="7"/>
        <v>0</v>
      </c>
      <c r="G12" s="86">
        <f t="shared" si="7"/>
        <v>0</v>
      </c>
      <c r="H12" s="86">
        <f t="shared" si="7"/>
        <v>0</v>
      </c>
      <c r="I12" s="86">
        <f t="shared" si="7"/>
        <v>0</v>
      </c>
      <c r="J12" s="86">
        <f t="shared" si="7"/>
        <v>0</v>
      </c>
      <c r="K12" s="86">
        <f t="shared" si="7"/>
        <v>0</v>
      </c>
      <c r="L12" s="86">
        <f t="shared" si="7"/>
        <v>0</v>
      </c>
      <c r="M12" s="86">
        <f t="shared" si="7"/>
        <v>0</v>
      </c>
      <c r="N12" s="87">
        <f t="shared" si="7"/>
        <v>0</v>
      </c>
    </row>
    <row r="13" spans="1:14" s="76" customFormat="1" ht="15" customHeight="1" x14ac:dyDescent="0.25">
      <c r="A13" s="165" t="s">
        <v>45</v>
      </c>
      <c r="B13" s="72">
        <v>2024</v>
      </c>
      <c r="C13" s="77">
        <f t="shared" ref="C13:N14" si="8">C28+C36+C40+C44+C48+C52</f>
        <v>395734.4</v>
      </c>
      <c r="D13" s="78">
        <f t="shared" si="8"/>
        <v>411755.89999999991</v>
      </c>
      <c r="E13" s="78">
        <f t="shared" si="8"/>
        <v>429540.9</v>
      </c>
      <c r="F13" s="78">
        <f t="shared" si="8"/>
        <v>404906.80000000005</v>
      </c>
      <c r="G13" s="78">
        <f t="shared" si="8"/>
        <v>432751.80000000005</v>
      </c>
      <c r="H13" s="78">
        <f t="shared" si="8"/>
        <v>413289.99999999994</v>
      </c>
      <c r="I13" s="78">
        <f t="shared" si="8"/>
        <v>438521.79999999993</v>
      </c>
      <c r="J13" s="78">
        <f t="shared" si="8"/>
        <v>438234.6</v>
      </c>
      <c r="K13" s="78">
        <f t="shared" si="8"/>
        <v>422335.9</v>
      </c>
      <c r="L13" s="78">
        <f t="shared" si="8"/>
        <v>425326.4</v>
      </c>
      <c r="M13" s="78">
        <f t="shared" si="8"/>
        <v>412451.1</v>
      </c>
      <c r="N13" s="79">
        <f t="shared" si="8"/>
        <v>430575.6</v>
      </c>
    </row>
    <row r="14" spans="1:14" s="76" customFormat="1" ht="15" customHeight="1" x14ac:dyDescent="0.25">
      <c r="A14" s="165"/>
      <c r="B14" s="72">
        <v>2025</v>
      </c>
      <c r="C14" s="77">
        <f t="shared" si="8"/>
        <v>398079.3</v>
      </c>
      <c r="D14" s="78">
        <f t="shared" si="8"/>
        <v>386685.4</v>
      </c>
      <c r="E14" s="78">
        <f t="shared" si="8"/>
        <v>420636.8</v>
      </c>
      <c r="F14" s="78">
        <f t="shared" si="8"/>
        <v>419621.6</v>
      </c>
      <c r="G14" s="78">
        <f t="shared" si="8"/>
        <v>417523.8</v>
      </c>
      <c r="H14" s="78">
        <f t="shared" si="8"/>
        <v>433198.39999999997</v>
      </c>
      <c r="I14" s="78">
        <f t="shared" si="8"/>
        <v>439303.4</v>
      </c>
      <c r="J14" s="78">
        <f t="shared" si="8"/>
        <v>445350.00000000006</v>
      </c>
      <c r="K14" s="78">
        <f t="shared" si="8"/>
        <v>440996.60000000009</v>
      </c>
      <c r="L14" s="78">
        <f t="shared" si="8"/>
        <v>450378.10000000003</v>
      </c>
      <c r="M14" s="78">
        <f t="shared" si="8"/>
        <v>426253.10000000003</v>
      </c>
      <c r="N14" s="79">
        <f t="shared" si="8"/>
        <v>446334.60000000003</v>
      </c>
    </row>
    <row r="15" spans="1:14" s="76" customFormat="1" ht="15" customHeight="1" x14ac:dyDescent="0.25">
      <c r="A15" s="165"/>
      <c r="B15" s="80" t="s">
        <v>43</v>
      </c>
      <c r="C15" s="81">
        <f>C14/C13*100</f>
        <v>100.59254388802185</v>
      </c>
      <c r="D15" s="82">
        <f t="shared" ref="D15:N15" si="9">D14/D13*100</f>
        <v>93.911319789224663</v>
      </c>
      <c r="E15" s="82">
        <f t="shared" si="9"/>
        <v>97.927065851005096</v>
      </c>
      <c r="F15" s="82">
        <f t="shared" si="9"/>
        <v>103.63412024693088</v>
      </c>
      <c r="G15" s="82">
        <f t="shared" si="9"/>
        <v>96.481123822015277</v>
      </c>
      <c r="H15" s="82">
        <f t="shared" si="9"/>
        <v>104.81705340075978</v>
      </c>
      <c r="I15" s="82">
        <f t="shared" si="9"/>
        <v>100.17823515273359</v>
      </c>
      <c r="J15" s="82">
        <f t="shared" si="9"/>
        <v>101.62365089383634</v>
      </c>
      <c r="K15" s="82">
        <f t="shared" si="9"/>
        <v>104.41844986419579</v>
      </c>
      <c r="L15" s="82">
        <f t="shared" si="9"/>
        <v>105.88999413156579</v>
      </c>
      <c r="M15" s="82">
        <f t="shared" si="9"/>
        <v>103.34633608687189</v>
      </c>
      <c r="N15" s="83">
        <f t="shared" si="9"/>
        <v>103.659984448724</v>
      </c>
    </row>
    <row r="16" spans="1:14" s="76" customFormat="1" ht="15" customHeight="1" x14ac:dyDescent="0.25">
      <c r="A16" s="165"/>
      <c r="B16" s="70" t="s">
        <v>44</v>
      </c>
      <c r="C16" s="84">
        <f>C14/N13*100</f>
        <v>92.452823615643808</v>
      </c>
      <c r="D16" s="82">
        <f>D14/C14*100</f>
        <v>97.137781341556831</v>
      </c>
      <c r="E16" s="82">
        <f t="shared" ref="E16:K16" si="10">E14/D14*100</f>
        <v>108.78010910161076</v>
      </c>
      <c r="F16" s="82">
        <f t="shared" si="10"/>
        <v>99.758651644363965</v>
      </c>
      <c r="G16" s="82">
        <f t="shared" si="10"/>
        <v>99.50007339946275</v>
      </c>
      <c r="H16" s="82">
        <f t="shared" si="10"/>
        <v>103.75418119877237</v>
      </c>
      <c r="I16" s="82">
        <f t="shared" si="10"/>
        <v>101.40928498350871</v>
      </c>
      <c r="J16" s="82">
        <f t="shared" si="10"/>
        <v>101.37640637427346</v>
      </c>
      <c r="K16" s="82">
        <f t="shared" si="10"/>
        <v>99.022476703716194</v>
      </c>
      <c r="L16" s="82">
        <f>L14/K14*100</f>
        <v>102.12734066430443</v>
      </c>
      <c r="M16" s="82">
        <f>M14/L14*100</f>
        <v>94.643389631955912</v>
      </c>
      <c r="N16" s="83">
        <f>N14/M14*100</f>
        <v>104.71116808300044</v>
      </c>
    </row>
    <row r="17" spans="1:14" s="76" customFormat="1" ht="15" customHeight="1" x14ac:dyDescent="0.25">
      <c r="A17" s="165"/>
      <c r="B17" s="72">
        <v>2026</v>
      </c>
      <c r="C17" s="143">
        <f t="shared" ref="C17:E17" si="11">C30+C38+C42+C46+C50+C54</f>
        <v>397336.4</v>
      </c>
      <c r="D17" s="78">
        <f t="shared" si="11"/>
        <v>387539.9</v>
      </c>
      <c r="E17" s="78">
        <f t="shared" si="11"/>
        <v>0</v>
      </c>
      <c r="F17" s="78">
        <f>F30+F38+F42+F46+F50+F54</f>
        <v>0</v>
      </c>
      <c r="G17" s="78">
        <f>G30+G38+G42+G46+G50+G54</f>
        <v>0</v>
      </c>
      <c r="H17" s="78">
        <f t="shared" ref="H17:M17" si="12">H30+H38+H42+H46+H50+H54</f>
        <v>0</v>
      </c>
      <c r="I17" s="78">
        <f t="shared" si="12"/>
        <v>0</v>
      </c>
      <c r="J17" s="78">
        <f t="shared" si="12"/>
        <v>0</v>
      </c>
      <c r="K17" s="78">
        <f t="shared" si="12"/>
        <v>0</v>
      </c>
      <c r="L17" s="78">
        <f t="shared" si="12"/>
        <v>0</v>
      </c>
      <c r="M17" s="78">
        <f t="shared" si="12"/>
        <v>0</v>
      </c>
      <c r="N17" s="79">
        <f>N30+N38+N42+N46+N50+N54</f>
        <v>0</v>
      </c>
    </row>
    <row r="18" spans="1:14" s="76" customFormat="1" ht="15" customHeight="1" x14ac:dyDescent="0.25">
      <c r="A18" s="165"/>
      <c r="B18" s="80" t="s">
        <v>43</v>
      </c>
      <c r="C18" s="81">
        <f>C17/C14*100</f>
        <v>99.81337889209513</v>
      </c>
      <c r="D18" s="82">
        <f t="shared" ref="D18:I18" si="13">D17/D14*100</f>
        <v>100.22098067317773</v>
      </c>
      <c r="E18" s="82">
        <f t="shared" si="13"/>
        <v>0</v>
      </c>
      <c r="F18" s="82">
        <f t="shared" si="13"/>
        <v>0</v>
      </c>
      <c r="G18" s="82">
        <f t="shared" si="13"/>
        <v>0</v>
      </c>
      <c r="H18" s="82">
        <f t="shared" si="13"/>
        <v>0</v>
      </c>
      <c r="I18" s="82">
        <f t="shared" si="13"/>
        <v>0</v>
      </c>
      <c r="J18" s="82">
        <f t="shared" ref="J18:K18" si="14">J17/J14*100</f>
        <v>0</v>
      </c>
      <c r="K18" s="82">
        <f t="shared" si="14"/>
        <v>0</v>
      </c>
      <c r="L18" s="82">
        <f t="shared" ref="L18:M18" si="15">L17/L14*100</f>
        <v>0</v>
      </c>
      <c r="M18" s="82">
        <f t="shared" si="15"/>
        <v>0</v>
      </c>
      <c r="N18" s="83">
        <f>N17/N14*100</f>
        <v>0</v>
      </c>
    </row>
    <row r="19" spans="1:14" s="76" customFormat="1" ht="15" customHeight="1" x14ac:dyDescent="0.25">
      <c r="A19" s="165"/>
      <c r="B19" s="70" t="s">
        <v>44</v>
      </c>
      <c r="C19" s="86">
        <f>C17/N14*100</f>
        <v>89.022092394360641</v>
      </c>
      <c r="D19" s="86">
        <f>IFERROR(D17/C17*100,0)</f>
        <v>97.534456948822211</v>
      </c>
      <c r="E19" s="86">
        <f t="shared" ref="E19:N19" si="16">IFERROR(E17/D17*100,0)</f>
        <v>0</v>
      </c>
      <c r="F19" s="86">
        <f t="shared" si="16"/>
        <v>0</v>
      </c>
      <c r="G19" s="86">
        <f t="shared" si="16"/>
        <v>0</v>
      </c>
      <c r="H19" s="86">
        <f t="shared" si="16"/>
        <v>0</v>
      </c>
      <c r="I19" s="86">
        <f t="shared" si="16"/>
        <v>0</v>
      </c>
      <c r="J19" s="86">
        <f t="shared" si="16"/>
        <v>0</v>
      </c>
      <c r="K19" s="86">
        <f t="shared" si="16"/>
        <v>0</v>
      </c>
      <c r="L19" s="86">
        <f t="shared" si="16"/>
        <v>0</v>
      </c>
      <c r="M19" s="86">
        <f t="shared" si="16"/>
        <v>0</v>
      </c>
      <c r="N19" s="87">
        <f t="shared" si="16"/>
        <v>0</v>
      </c>
    </row>
    <row r="20" spans="1:14" s="76" customFormat="1" ht="15" customHeight="1" x14ac:dyDescent="0.25">
      <c r="A20" s="166" t="s">
        <v>46</v>
      </c>
      <c r="B20" s="72">
        <v>2024</v>
      </c>
      <c r="C20" s="73">
        <f t="shared" ref="C20:N21" si="17">C28+C36+C40+C44+C48</f>
        <v>290477.5</v>
      </c>
      <c r="D20" s="74">
        <f t="shared" si="17"/>
        <v>315480.09999999992</v>
      </c>
      <c r="E20" s="74">
        <f t="shared" si="17"/>
        <v>333861.80000000005</v>
      </c>
      <c r="F20" s="74">
        <f t="shared" si="17"/>
        <v>321142.60000000003</v>
      </c>
      <c r="G20" s="74">
        <f t="shared" si="17"/>
        <v>349679.30000000005</v>
      </c>
      <c r="H20" s="74">
        <f t="shared" si="17"/>
        <v>334971.79999999993</v>
      </c>
      <c r="I20" s="74">
        <f t="shared" si="17"/>
        <v>355812.39999999997</v>
      </c>
      <c r="J20" s="74">
        <f t="shared" si="17"/>
        <v>355842</v>
      </c>
      <c r="K20" s="74">
        <f t="shared" si="17"/>
        <v>342438.3</v>
      </c>
      <c r="L20" s="74">
        <f t="shared" si="17"/>
        <v>338302.2</v>
      </c>
      <c r="M20" s="74">
        <f t="shared" si="17"/>
        <v>320740.8</v>
      </c>
      <c r="N20" s="75">
        <f t="shared" si="17"/>
        <v>330934.8</v>
      </c>
    </row>
    <row r="21" spans="1:14" s="76" customFormat="1" ht="15" customHeight="1" x14ac:dyDescent="0.25">
      <c r="A21" s="167"/>
      <c r="B21" s="72">
        <v>2025</v>
      </c>
      <c r="C21" s="77">
        <f t="shared" si="17"/>
        <v>299197.8</v>
      </c>
      <c r="D21" s="78">
        <f t="shared" si="17"/>
        <v>293216.7</v>
      </c>
      <c r="E21" s="78">
        <f t="shared" si="17"/>
        <v>325983</v>
      </c>
      <c r="F21" s="78">
        <f t="shared" si="17"/>
        <v>333365.8</v>
      </c>
      <c r="G21" s="78">
        <f t="shared" si="17"/>
        <v>333143.3</v>
      </c>
      <c r="H21" s="78">
        <f t="shared" si="17"/>
        <v>353383.39999999997</v>
      </c>
      <c r="I21" s="78">
        <f t="shared" si="17"/>
        <v>356404.50000000006</v>
      </c>
      <c r="J21" s="78">
        <f t="shared" si="17"/>
        <v>361690.00000000006</v>
      </c>
      <c r="K21" s="78">
        <f t="shared" si="17"/>
        <v>361854.20000000007</v>
      </c>
      <c r="L21" s="78">
        <f t="shared" si="17"/>
        <v>361084.9</v>
      </c>
      <c r="M21" s="78">
        <f t="shared" si="17"/>
        <v>337657.9</v>
      </c>
      <c r="N21" s="79">
        <f t="shared" si="17"/>
        <v>347177.80000000005</v>
      </c>
    </row>
    <row r="22" spans="1:14" s="76" customFormat="1" ht="15" customHeight="1" x14ac:dyDescent="0.25">
      <c r="A22" s="167"/>
      <c r="B22" s="80" t="s">
        <v>43</v>
      </c>
      <c r="C22" s="81">
        <f>C21/C20*100</f>
        <v>103.00205695793994</v>
      </c>
      <c r="D22" s="82">
        <f t="shared" ref="D22:N22" si="18">D21/D20*100</f>
        <v>92.943009717570163</v>
      </c>
      <c r="E22" s="82">
        <f t="shared" si="18"/>
        <v>97.640101383266952</v>
      </c>
      <c r="F22" s="82">
        <f t="shared" si="18"/>
        <v>103.80615963126661</v>
      </c>
      <c r="G22" s="82">
        <f t="shared" si="18"/>
        <v>95.271095543831137</v>
      </c>
      <c r="H22" s="82">
        <f t="shared" si="18"/>
        <v>105.49646268730682</v>
      </c>
      <c r="I22" s="82">
        <f t="shared" si="18"/>
        <v>100.16640791608165</v>
      </c>
      <c r="J22" s="82">
        <f t="shared" si="18"/>
        <v>101.64342601491676</v>
      </c>
      <c r="K22" s="82">
        <f t="shared" si="18"/>
        <v>105.6698973216489</v>
      </c>
      <c r="L22" s="82">
        <f t="shared" si="18"/>
        <v>106.73442265524729</v>
      </c>
      <c r="M22" s="82">
        <f t="shared" si="18"/>
        <v>105.27438355207694</v>
      </c>
      <c r="N22" s="83">
        <f t="shared" si="18"/>
        <v>104.90821757034922</v>
      </c>
    </row>
    <row r="23" spans="1:14" s="76" customFormat="1" ht="15" customHeight="1" x14ac:dyDescent="0.25">
      <c r="A23" s="167"/>
      <c r="B23" s="70" t="s">
        <v>44</v>
      </c>
      <c r="C23" s="84">
        <f>C21/N20*100</f>
        <v>90.409893429158856</v>
      </c>
      <c r="D23" s="82">
        <f>D21/C21*100</f>
        <v>98.000954552473317</v>
      </c>
      <c r="E23" s="82">
        <f t="shared" ref="E23:K23" si="19">E21/D21*100</f>
        <v>111.17477278749813</v>
      </c>
      <c r="F23" s="82">
        <f t="shared" si="19"/>
        <v>102.26478067874704</v>
      </c>
      <c r="G23" s="82">
        <f t="shared" si="19"/>
        <v>99.933256500816825</v>
      </c>
      <c r="H23" s="82">
        <f t="shared" si="19"/>
        <v>106.07549363892355</v>
      </c>
      <c r="I23" s="82">
        <f t="shared" si="19"/>
        <v>100.85490716315483</v>
      </c>
      <c r="J23" s="82">
        <f t="shared" si="19"/>
        <v>101.48300596653522</v>
      </c>
      <c r="K23" s="82">
        <f t="shared" si="19"/>
        <v>100.04539799275622</v>
      </c>
      <c r="L23" s="82">
        <f>L21/K21*100</f>
        <v>99.787400560778337</v>
      </c>
      <c r="M23" s="82">
        <f>M21/L21*100</f>
        <v>93.512052151723879</v>
      </c>
      <c r="N23" s="83">
        <f>N21/M21*100</f>
        <v>102.81939205331787</v>
      </c>
    </row>
    <row r="24" spans="1:14" s="76" customFormat="1" ht="15" customHeight="1" x14ac:dyDescent="0.25">
      <c r="A24" s="167"/>
      <c r="B24" s="72">
        <v>2026</v>
      </c>
      <c r="C24" s="143">
        <f>C30+C38+C42+C46+C50</f>
        <v>294709.60000000003</v>
      </c>
      <c r="D24" s="78">
        <f t="shared" ref="D24:H24" si="20">D30+D38+D42+D46+D50</f>
        <v>295736.60000000003</v>
      </c>
      <c r="E24" s="78">
        <f t="shared" si="20"/>
        <v>0</v>
      </c>
      <c r="F24" s="78">
        <f t="shared" si="20"/>
        <v>0</v>
      </c>
      <c r="G24" s="78">
        <f t="shared" si="20"/>
        <v>0</v>
      </c>
      <c r="H24" s="78">
        <f t="shared" si="20"/>
        <v>0</v>
      </c>
      <c r="I24" s="78">
        <f>I30+I38+I42+I46+I50</f>
        <v>0</v>
      </c>
      <c r="J24" s="78">
        <f t="shared" ref="J24:K24" si="21">J30+J38+J42+J46+J50</f>
        <v>0</v>
      </c>
      <c r="K24" s="78">
        <f t="shared" si="21"/>
        <v>0</v>
      </c>
      <c r="L24" s="78">
        <f t="shared" ref="L24:M24" si="22">L30+L38+L42+L46+L50</f>
        <v>0</v>
      </c>
      <c r="M24" s="78">
        <f t="shared" si="22"/>
        <v>0</v>
      </c>
      <c r="N24" s="79">
        <f>N30+N38+N42+N46+N50</f>
        <v>0</v>
      </c>
    </row>
    <row r="25" spans="1:14" s="76" customFormat="1" ht="15" customHeight="1" x14ac:dyDescent="0.25">
      <c r="A25" s="167"/>
      <c r="B25" s="80" t="s">
        <v>43</v>
      </c>
      <c r="C25" s="81">
        <f>C24/C21*100</f>
        <v>98.49992212509585</v>
      </c>
      <c r="D25" s="82">
        <f t="shared" ref="D25:I25" si="23">D24/D21*100</f>
        <v>100.85939852675514</v>
      </c>
      <c r="E25" s="82">
        <f t="shared" si="23"/>
        <v>0</v>
      </c>
      <c r="F25" s="82">
        <f t="shared" si="23"/>
        <v>0</v>
      </c>
      <c r="G25" s="82">
        <f t="shared" si="23"/>
        <v>0</v>
      </c>
      <c r="H25" s="82">
        <f t="shared" si="23"/>
        <v>0</v>
      </c>
      <c r="I25" s="82">
        <f t="shared" si="23"/>
        <v>0</v>
      </c>
      <c r="J25" s="82">
        <f t="shared" ref="J25:K25" si="24">J24/J21*100</f>
        <v>0</v>
      </c>
      <c r="K25" s="82">
        <f t="shared" si="24"/>
        <v>0</v>
      </c>
      <c r="L25" s="82">
        <f t="shared" ref="L25:M25" si="25">L24/L21*100</f>
        <v>0</v>
      </c>
      <c r="M25" s="82">
        <f t="shared" si="25"/>
        <v>0</v>
      </c>
      <c r="N25" s="83">
        <f>N24/N21*100</f>
        <v>0</v>
      </c>
    </row>
    <row r="26" spans="1:14" s="76" customFormat="1" ht="15" customHeight="1" x14ac:dyDescent="0.25">
      <c r="A26" s="168"/>
      <c r="B26" s="70" t="s">
        <v>44</v>
      </c>
      <c r="C26" s="86">
        <f>C24/N21*100</f>
        <v>84.887224932008891</v>
      </c>
      <c r="D26" s="86">
        <f>IFERROR(D24/C24*100,0)</f>
        <v>100.3484786379541</v>
      </c>
      <c r="E26" s="86">
        <f t="shared" ref="E26:N26" si="26">IFERROR(E24/D24*100,0)</f>
        <v>0</v>
      </c>
      <c r="F26" s="86">
        <f t="shared" si="26"/>
        <v>0</v>
      </c>
      <c r="G26" s="86">
        <f t="shared" si="26"/>
        <v>0</v>
      </c>
      <c r="H26" s="86">
        <f t="shared" si="26"/>
        <v>0</v>
      </c>
      <c r="I26" s="86">
        <f t="shared" si="26"/>
        <v>0</v>
      </c>
      <c r="J26" s="86">
        <f t="shared" si="26"/>
        <v>0</v>
      </c>
      <c r="K26" s="86">
        <f t="shared" si="26"/>
        <v>0</v>
      </c>
      <c r="L26" s="86">
        <f t="shared" si="26"/>
        <v>0</v>
      </c>
      <c r="M26" s="86">
        <f t="shared" si="26"/>
        <v>0</v>
      </c>
      <c r="N26" s="87">
        <f t="shared" si="26"/>
        <v>0</v>
      </c>
    </row>
    <row r="27" spans="1:14" ht="9.9499999999999993" customHeight="1" x14ac:dyDescent="0.25">
      <c r="A27" s="88" t="s">
        <v>14</v>
      </c>
      <c r="B27" s="89"/>
      <c r="C27" s="90"/>
      <c r="D27" s="90"/>
      <c r="E27" s="90"/>
      <c r="F27" s="90"/>
      <c r="G27" s="90"/>
      <c r="H27" s="90"/>
      <c r="I27" s="90"/>
      <c r="J27" s="90"/>
      <c r="K27" s="90"/>
      <c r="L27" s="91"/>
      <c r="M27" s="91"/>
      <c r="N27" s="92"/>
    </row>
    <row r="28" spans="1:14" x14ac:dyDescent="0.25">
      <c r="A28" s="93" t="s">
        <v>15</v>
      </c>
      <c r="B28" s="94">
        <v>2024</v>
      </c>
      <c r="C28" s="95">
        <v>94999.5</v>
      </c>
      <c r="D28" s="95">
        <v>96060.3</v>
      </c>
      <c r="E28" s="95">
        <v>105504</v>
      </c>
      <c r="F28" s="95">
        <v>101961.2</v>
      </c>
      <c r="G28" s="95">
        <v>104543.6</v>
      </c>
      <c r="H28" s="95">
        <v>98484.800000000003</v>
      </c>
      <c r="I28" s="95">
        <v>97499.9</v>
      </c>
      <c r="J28" s="95">
        <v>97674.3</v>
      </c>
      <c r="K28" s="95">
        <v>94784.7</v>
      </c>
      <c r="L28" s="95">
        <v>97063.5</v>
      </c>
      <c r="M28" s="95">
        <v>95773.7</v>
      </c>
      <c r="N28" s="96">
        <v>99511.9</v>
      </c>
    </row>
    <row r="29" spans="1:14" x14ac:dyDescent="0.25">
      <c r="A29" s="93" t="s">
        <v>47</v>
      </c>
      <c r="B29" s="94">
        <v>2025</v>
      </c>
      <c r="C29" s="112">
        <v>93146.4</v>
      </c>
      <c r="D29" s="112">
        <v>87057.9</v>
      </c>
      <c r="E29" s="112">
        <v>97717.4</v>
      </c>
      <c r="F29" s="112">
        <v>93030.8</v>
      </c>
      <c r="G29" s="112">
        <v>94650.6</v>
      </c>
      <c r="H29" s="112">
        <v>89400.4</v>
      </c>
      <c r="I29" s="112">
        <v>92170.2</v>
      </c>
      <c r="J29" s="112">
        <v>92284.2</v>
      </c>
      <c r="K29" s="112">
        <v>91481.1</v>
      </c>
      <c r="L29" s="112">
        <v>97033.9</v>
      </c>
      <c r="M29" s="112">
        <v>94247.5</v>
      </c>
      <c r="N29" s="96">
        <v>94587.4</v>
      </c>
    </row>
    <row r="30" spans="1:14" x14ac:dyDescent="0.25">
      <c r="A30" s="93"/>
      <c r="B30" s="94">
        <v>2026</v>
      </c>
      <c r="C30" s="112">
        <v>89401.600000000006</v>
      </c>
      <c r="D30" s="112">
        <v>84227.3</v>
      </c>
      <c r="E30" s="112"/>
      <c r="F30" s="112"/>
      <c r="G30" s="112"/>
      <c r="H30" s="112"/>
      <c r="I30" s="112"/>
      <c r="J30" s="112"/>
      <c r="K30" s="112"/>
      <c r="L30" s="112"/>
      <c r="M30" s="112"/>
      <c r="N30" s="96"/>
    </row>
    <row r="31" spans="1:14" x14ac:dyDescent="0.25">
      <c r="A31" s="93"/>
      <c r="B31" s="97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6"/>
    </row>
    <row r="32" spans="1:14" x14ac:dyDescent="0.25">
      <c r="A32" s="93" t="s">
        <v>48</v>
      </c>
      <c r="B32" s="94">
        <v>2024</v>
      </c>
      <c r="C32" s="98">
        <v>451243.4</v>
      </c>
      <c r="D32" s="98">
        <v>496609.5</v>
      </c>
      <c r="E32" s="95">
        <v>537032.19999999995</v>
      </c>
      <c r="F32" s="95">
        <v>523908.9</v>
      </c>
      <c r="G32" s="95">
        <v>566069.5</v>
      </c>
      <c r="H32" s="95">
        <v>592418</v>
      </c>
      <c r="I32" s="95">
        <v>653641.9</v>
      </c>
      <c r="J32" s="95">
        <v>659178</v>
      </c>
      <c r="K32" s="95">
        <v>640810.80000000005</v>
      </c>
      <c r="L32" s="95">
        <v>603103.1</v>
      </c>
      <c r="M32" s="95">
        <v>525709.9</v>
      </c>
      <c r="N32" s="96">
        <v>526154.9</v>
      </c>
    </row>
    <row r="33" spans="1:18" s="76" customFormat="1" x14ac:dyDescent="0.25">
      <c r="A33" s="93"/>
      <c r="B33" s="94">
        <v>2025</v>
      </c>
      <c r="C33" s="98">
        <v>451181.5</v>
      </c>
      <c r="D33" s="98">
        <v>503702.1</v>
      </c>
      <c r="E33" s="95">
        <v>546080.4</v>
      </c>
      <c r="F33" s="95">
        <v>557504.9</v>
      </c>
      <c r="G33" s="95">
        <v>545540.69999999995</v>
      </c>
      <c r="H33" s="95">
        <v>596095.80000000005</v>
      </c>
      <c r="I33" s="95">
        <v>654323.1</v>
      </c>
      <c r="J33" s="95">
        <v>661525.19999999995</v>
      </c>
      <c r="K33" s="95">
        <v>673393.3</v>
      </c>
      <c r="L33" s="95">
        <v>617861.5</v>
      </c>
      <c r="M33" s="95">
        <v>526613.5</v>
      </c>
      <c r="N33" s="96">
        <v>535218.69999999995</v>
      </c>
    </row>
    <row r="34" spans="1:18" s="76" customFormat="1" x14ac:dyDescent="0.25">
      <c r="A34" s="93"/>
      <c r="B34" s="94">
        <v>2026</v>
      </c>
      <c r="C34" s="142">
        <v>431184.1</v>
      </c>
      <c r="D34" s="98">
        <v>490663</v>
      </c>
      <c r="E34" s="95"/>
      <c r="F34" s="95"/>
      <c r="G34" s="95"/>
      <c r="H34" s="95"/>
      <c r="I34" s="95"/>
      <c r="J34" s="95"/>
      <c r="K34" s="95"/>
      <c r="L34" s="95"/>
      <c r="M34" s="95"/>
      <c r="N34" s="96"/>
    </row>
    <row r="35" spans="1:18" s="76" customFormat="1" ht="15" customHeight="1" x14ac:dyDescent="0.25">
      <c r="A35" s="99" t="s">
        <v>49</v>
      </c>
      <c r="B35" s="97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6"/>
      <c r="P35" s="98"/>
      <c r="Q35" s="98"/>
      <c r="R35" s="98"/>
    </row>
    <row r="36" spans="1:18" s="76" customFormat="1" x14ac:dyDescent="0.25">
      <c r="A36" s="100" t="s">
        <v>50</v>
      </c>
      <c r="B36" s="94">
        <v>2024</v>
      </c>
      <c r="C36" s="98">
        <v>191231.4</v>
      </c>
      <c r="D36" s="98">
        <v>214804.5</v>
      </c>
      <c r="E36" s="95">
        <v>223069.5</v>
      </c>
      <c r="F36" s="95">
        <v>211959.3</v>
      </c>
      <c r="G36" s="95">
        <v>230647.3</v>
      </c>
      <c r="H36" s="95">
        <v>219821.8</v>
      </c>
      <c r="I36" s="95">
        <v>240234.2</v>
      </c>
      <c r="J36" s="95">
        <v>238906.4</v>
      </c>
      <c r="K36" s="95">
        <v>229143</v>
      </c>
      <c r="L36" s="95">
        <v>225370.5</v>
      </c>
      <c r="M36" s="95">
        <v>215370.8</v>
      </c>
      <c r="N36" s="96">
        <v>227457.7</v>
      </c>
    </row>
    <row r="37" spans="1:18" s="76" customFormat="1" x14ac:dyDescent="0.25">
      <c r="A37" s="93"/>
      <c r="B37" s="94">
        <v>2025</v>
      </c>
      <c r="C37" s="98">
        <v>202992.8</v>
      </c>
      <c r="D37" s="98">
        <v>203481.5</v>
      </c>
      <c r="E37" s="95">
        <v>223571.20000000001</v>
      </c>
      <c r="F37" s="95">
        <v>234568.7</v>
      </c>
      <c r="G37" s="95">
        <v>227224.6</v>
      </c>
      <c r="H37" s="95">
        <v>246192.2</v>
      </c>
      <c r="I37" s="95">
        <v>248101.7</v>
      </c>
      <c r="J37" s="95">
        <v>251060.5</v>
      </c>
      <c r="K37" s="95">
        <v>254627.20000000001</v>
      </c>
      <c r="L37" s="95">
        <v>249521.1</v>
      </c>
      <c r="M37" s="95">
        <v>233016.4</v>
      </c>
      <c r="N37" s="96">
        <v>247249.9</v>
      </c>
    </row>
    <row r="38" spans="1:18" x14ac:dyDescent="0.25">
      <c r="A38" s="93"/>
      <c r="B38" s="94">
        <v>2026</v>
      </c>
      <c r="C38" s="98">
        <v>202043.6</v>
      </c>
      <c r="D38" s="98">
        <v>206699.6</v>
      </c>
      <c r="E38" s="95"/>
      <c r="F38" s="95"/>
      <c r="G38" s="95"/>
      <c r="H38" s="95"/>
      <c r="I38" s="95"/>
      <c r="J38" s="95"/>
      <c r="K38" s="95"/>
      <c r="L38" s="95"/>
      <c r="M38" s="95"/>
      <c r="N38" s="96"/>
    </row>
    <row r="39" spans="1:18" x14ac:dyDescent="0.25">
      <c r="A39" s="93"/>
      <c r="B39" s="97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6"/>
    </row>
    <row r="40" spans="1:18" x14ac:dyDescent="0.25">
      <c r="A40" s="93" t="s">
        <v>51</v>
      </c>
      <c r="B40" s="94" t="s">
        <v>64</v>
      </c>
      <c r="C40" s="95">
        <v>2535.1</v>
      </c>
      <c r="D40" s="95">
        <v>3124.6</v>
      </c>
      <c r="E40" s="95">
        <v>3135.7</v>
      </c>
      <c r="F40" s="95">
        <v>2927.7</v>
      </c>
      <c r="G40" s="95">
        <v>3055.2</v>
      </c>
      <c r="H40" s="95">
        <v>2169.1</v>
      </c>
      <c r="I40" s="95">
        <v>2393.3000000000002</v>
      </c>
      <c r="J40" s="95">
        <v>2869.3</v>
      </c>
      <c r="K40" s="95">
        <v>2935.8</v>
      </c>
      <c r="L40" s="95">
        <v>2666.5</v>
      </c>
      <c r="M40" s="95">
        <v>2005</v>
      </c>
      <c r="N40" s="96">
        <v>2079.1999999999998</v>
      </c>
    </row>
    <row r="41" spans="1:18" s="76" customFormat="1" x14ac:dyDescent="0.25">
      <c r="A41" s="93"/>
      <c r="B41" s="94" t="s">
        <v>52</v>
      </c>
      <c r="C41" s="95">
        <v>1970.7</v>
      </c>
      <c r="D41" s="95">
        <v>1778.5</v>
      </c>
      <c r="E41" s="95">
        <v>3453.5</v>
      </c>
      <c r="F41" s="95">
        <v>3052</v>
      </c>
      <c r="G41" s="112">
        <v>2415.1</v>
      </c>
      <c r="H41" s="95">
        <v>2313.6</v>
      </c>
      <c r="I41" s="112">
        <v>3034.9</v>
      </c>
      <c r="J41" s="112">
        <v>3859.4</v>
      </c>
      <c r="K41" s="95">
        <v>2856.2000000000007</v>
      </c>
      <c r="L41" s="95">
        <v>3185.2999999999993</v>
      </c>
      <c r="M41" s="95">
        <v>3066.7999999999993</v>
      </c>
      <c r="N41" s="96">
        <v>3676.7000000000007</v>
      </c>
    </row>
    <row r="42" spans="1:18" x14ac:dyDescent="0.25">
      <c r="A42" s="93"/>
      <c r="B42" s="94" t="s">
        <v>68</v>
      </c>
      <c r="C42" s="95">
        <v>2433</v>
      </c>
      <c r="D42" s="95">
        <v>3823</v>
      </c>
      <c r="E42" s="95"/>
      <c r="F42" s="95"/>
      <c r="G42" s="112"/>
      <c r="H42" s="95"/>
      <c r="I42" s="112"/>
      <c r="J42" s="112"/>
      <c r="K42" s="95"/>
      <c r="L42" s="95"/>
      <c r="M42" s="95"/>
      <c r="N42" s="96"/>
    </row>
    <row r="43" spans="1:18" x14ac:dyDescent="0.25">
      <c r="A43" s="93"/>
      <c r="B43" s="97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6"/>
    </row>
    <row r="44" spans="1:18" ht="16.5" x14ac:dyDescent="0.25">
      <c r="A44" s="93" t="s">
        <v>53</v>
      </c>
      <c r="B44" s="94" t="s">
        <v>64</v>
      </c>
      <c r="C44" s="95">
        <v>1680.1</v>
      </c>
      <c r="D44" s="95">
        <v>1456.6</v>
      </c>
      <c r="E44" s="95">
        <v>2114.6999999999998</v>
      </c>
      <c r="F44" s="95">
        <v>4257.2</v>
      </c>
      <c r="G44" s="95">
        <v>11394.4</v>
      </c>
      <c r="H44" s="95">
        <v>14457.1</v>
      </c>
      <c r="I44" s="95">
        <v>15644.6</v>
      </c>
      <c r="J44" s="95">
        <v>16347.2</v>
      </c>
      <c r="K44" s="95">
        <v>15530.7</v>
      </c>
      <c r="L44" s="95">
        <v>13156</v>
      </c>
      <c r="M44" s="95">
        <v>7544.8</v>
      </c>
      <c r="N44" s="96">
        <v>1836.5</v>
      </c>
    </row>
    <row r="45" spans="1:18" x14ac:dyDescent="0.25">
      <c r="A45" s="93"/>
      <c r="B45" s="94" t="s">
        <v>52</v>
      </c>
      <c r="C45" s="95">
        <v>1056.7</v>
      </c>
      <c r="D45" s="95">
        <v>867.6</v>
      </c>
      <c r="E45" s="95">
        <v>1204.7</v>
      </c>
      <c r="F45" s="95">
        <v>2679</v>
      </c>
      <c r="G45" s="95">
        <v>8819.1</v>
      </c>
      <c r="H45" s="95">
        <v>15442.8</v>
      </c>
      <c r="I45" s="95">
        <v>13061</v>
      </c>
      <c r="J45" s="112">
        <v>14446.4</v>
      </c>
      <c r="K45" s="95">
        <v>12851</v>
      </c>
      <c r="L45" s="95">
        <v>11303.4</v>
      </c>
      <c r="M45" s="95">
        <v>7285.6999999999953</v>
      </c>
      <c r="N45" s="96">
        <v>1617.6000000000076</v>
      </c>
    </row>
    <row r="46" spans="1:18" x14ac:dyDescent="0.25">
      <c r="A46" s="93"/>
      <c r="B46" s="94" t="s">
        <v>68</v>
      </c>
      <c r="C46" s="95">
        <v>803.5</v>
      </c>
      <c r="D46" s="112">
        <v>955</v>
      </c>
      <c r="E46" s="95"/>
      <c r="F46" s="95"/>
      <c r="G46" s="95"/>
      <c r="H46" s="95"/>
      <c r="I46" s="95"/>
      <c r="J46" s="112"/>
      <c r="K46" s="95"/>
      <c r="L46" s="95"/>
      <c r="M46" s="95"/>
      <c r="N46" s="96"/>
    </row>
    <row r="47" spans="1:18" x14ac:dyDescent="0.25">
      <c r="A47" s="93"/>
      <c r="B47" s="97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6"/>
    </row>
    <row r="48" spans="1:18" ht="16.5" x14ac:dyDescent="0.25">
      <c r="A48" s="93" t="s">
        <v>54</v>
      </c>
      <c r="B48" s="94">
        <v>2024</v>
      </c>
      <c r="C48" s="95">
        <v>31.4</v>
      </c>
      <c r="D48" s="95">
        <v>34.1</v>
      </c>
      <c r="E48" s="95">
        <v>37.9</v>
      </c>
      <c r="F48" s="95">
        <v>37.200000000000003</v>
      </c>
      <c r="G48" s="95">
        <v>38.799999999999997</v>
      </c>
      <c r="H48" s="95">
        <v>39</v>
      </c>
      <c r="I48" s="95">
        <v>40.4</v>
      </c>
      <c r="J48" s="95">
        <v>44.8</v>
      </c>
      <c r="K48" s="95">
        <v>44.1</v>
      </c>
      <c r="L48" s="95">
        <v>45.7</v>
      </c>
      <c r="M48" s="95">
        <v>46.5</v>
      </c>
      <c r="N48" s="96">
        <v>49.5</v>
      </c>
    </row>
    <row r="49" spans="1:14" x14ac:dyDescent="0.25">
      <c r="A49" s="93" t="s">
        <v>55</v>
      </c>
      <c r="B49" s="94">
        <v>2025</v>
      </c>
      <c r="C49" s="112">
        <v>31.2</v>
      </c>
      <c r="D49" s="112">
        <v>31.2</v>
      </c>
      <c r="E49" s="112">
        <v>36.200000000000003</v>
      </c>
      <c r="F49" s="112">
        <v>35.299999999999997</v>
      </c>
      <c r="G49" s="112">
        <v>33.9</v>
      </c>
      <c r="H49" s="112">
        <v>34.4</v>
      </c>
      <c r="I49" s="112">
        <v>36.700000000000003</v>
      </c>
      <c r="J49" s="112">
        <v>39.5</v>
      </c>
      <c r="K49" s="112">
        <v>38.700000000000003</v>
      </c>
      <c r="L49" s="112">
        <v>41.2</v>
      </c>
      <c r="M49" s="112">
        <v>41.5</v>
      </c>
      <c r="N49" s="96">
        <v>46.2</v>
      </c>
    </row>
    <row r="50" spans="1:14" x14ac:dyDescent="0.25">
      <c r="A50" s="93"/>
      <c r="B50" s="94">
        <v>2026</v>
      </c>
      <c r="C50" s="112">
        <v>27.9</v>
      </c>
      <c r="D50" s="112">
        <v>31.7</v>
      </c>
      <c r="E50" s="112"/>
      <c r="F50" s="112"/>
      <c r="G50" s="112"/>
      <c r="H50" s="112"/>
      <c r="I50" s="112"/>
      <c r="J50" s="112"/>
      <c r="K50" s="112"/>
      <c r="L50" s="112"/>
      <c r="M50" s="112"/>
      <c r="N50" s="96"/>
    </row>
    <row r="51" spans="1:14" x14ac:dyDescent="0.25">
      <c r="A51" s="93"/>
      <c r="B51" s="97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6"/>
    </row>
    <row r="52" spans="1:14" x14ac:dyDescent="0.25">
      <c r="A52" s="93" t="s">
        <v>17</v>
      </c>
      <c r="B52" s="94">
        <v>2024</v>
      </c>
      <c r="C52" s="95">
        <v>105256.90000000001</v>
      </c>
      <c r="D52" s="95">
        <v>96275.8</v>
      </c>
      <c r="E52" s="95">
        <v>95679.1</v>
      </c>
      <c r="F52" s="95">
        <v>83764.2</v>
      </c>
      <c r="G52" s="95">
        <v>83072.5</v>
      </c>
      <c r="H52" s="95">
        <v>78318.2</v>
      </c>
      <c r="I52" s="95">
        <v>82709.399999999994</v>
      </c>
      <c r="J52" s="95">
        <v>82392.600000000006</v>
      </c>
      <c r="K52" s="95">
        <v>79897.600000000006</v>
      </c>
      <c r="L52" s="95">
        <v>87024.2</v>
      </c>
      <c r="M52" s="95">
        <v>91710.3</v>
      </c>
      <c r="N52" s="96">
        <v>99640.8</v>
      </c>
    </row>
    <row r="53" spans="1:14" x14ac:dyDescent="0.25">
      <c r="A53" s="93"/>
      <c r="B53" s="94">
        <v>2025</v>
      </c>
      <c r="C53" s="138">
        <v>98881.5</v>
      </c>
      <c r="D53" s="139">
        <v>93468.7</v>
      </c>
      <c r="E53" s="139">
        <v>94653.8</v>
      </c>
      <c r="F53" s="139">
        <v>86255.8</v>
      </c>
      <c r="G53" s="139">
        <v>84380.5</v>
      </c>
      <c r="H53" s="139">
        <v>79815</v>
      </c>
      <c r="I53" s="139">
        <v>82898.899999999994</v>
      </c>
      <c r="J53" s="139">
        <v>83660</v>
      </c>
      <c r="K53" s="139">
        <v>79142.399999999994</v>
      </c>
      <c r="L53" s="140">
        <v>89293.2</v>
      </c>
      <c r="M53" s="140">
        <v>88595.199999999997</v>
      </c>
      <c r="N53" s="141">
        <v>99156.800000000003</v>
      </c>
    </row>
    <row r="54" spans="1:14" x14ac:dyDescent="0.25">
      <c r="A54" s="101"/>
      <c r="B54" s="102">
        <v>2026</v>
      </c>
      <c r="C54" s="144">
        <v>102626.8</v>
      </c>
      <c r="D54" s="103">
        <v>91803.3</v>
      </c>
      <c r="E54" s="103"/>
      <c r="F54" s="103"/>
      <c r="G54" s="103"/>
      <c r="H54" s="103"/>
      <c r="I54" s="103"/>
      <c r="J54" s="103"/>
      <c r="K54" s="103"/>
      <c r="L54" s="104"/>
      <c r="M54" s="104"/>
      <c r="N54" s="105"/>
    </row>
    <row r="55" spans="1:14" x14ac:dyDescent="0.25">
      <c r="A55" s="71"/>
      <c r="B55" s="71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</row>
    <row r="56" spans="1:14" ht="15" customHeight="1" x14ac:dyDescent="0.25">
      <c r="A56" s="158" t="s">
        <v>56</v>
      </c>
      <c r="B56" s="158"/>
      <c r="C56" s="158"/>
      <c r="D56" s="158"/>
      <c r="E56" s="158"/>
      <c r="F56" s="158"/>
      <c r="G56" s="158"/>
      <c r="H56" s="158"/>
      <c r="I56" s="158"/>
      <c r="J56" s="158"/>
      <c r="K56" s="158"/>
      <c r="L56" s="158"/>
      <c r="M56" s="158"/>
      <c r="N56" s="158"/>
    </row>
    <row r="57" spans="1:14" ht="16.5" x14ac:dyDescent="0.25">
      <c r="A57" s="159" t="s">
        <v>57</v>
      </c>
      <c r="B57" s="159"/>
      <c r="C57" s="159"/>
      <c r="D57" s="159"/>
      <c r="E57" s="159"/>
      <c r="F57" s="159"/>
      <c r="G57" s="159"/>
      <c r="H57" s="159"/>
      <c r="I57" s="159"/>
      <c r="J57" s="159"/>
      <c r="K57" s="159"/>
      <c r="L57" s="159"/>
      <c r="M57" s="159"/>
      <c r="N57" s="159"/>
    </row>
    <row r="58" spans="1:14" ht="16.5" x14ac:dyDescent="0.25">
      <c r="A58" s="135" t="s">
        <v>58</v>
      </c>
    </row>
    <row r="59" spans="1:14" ht="16.5" x14ac:dyDescent="0.25">
      <c r="A59" s="67" t="s">
        <v>59</v>
      </c>
      <c r="B59" s="135"/>
      <c r="C59" s="136"/>
      <c r="D59" s="136"/>
      <c r="E59" s="136"/>
      <c r="F59" s="136"/>
      <c r="G59" s="136"/>
      <c r="H59" s="136"/>
      <c r="I59" s="136"/>
      <c r="J59" s="136"/>
      <c r="K59" s="136"/>
      <c r="L59" s="136"/>
      <c r="M59" s="136"/>
      <c r="N59" s="136"/>
    </row>
    <row r="60" spans="1:14" ht="16.5" x14ac:dyDescent="0.25">
      <c r="A60" s="67" t="s">
        <v>60</v>
      </c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</row>
    <row r="61" spans="1:14" x14ac:dyDescent="0.25">
      <c r="A61" s="71"/>
      <c r="B61" s="71"/>
      <c r="C61" s="95"/>
      <c r="D61" s="95"/>
      <c r="E61" s="95"/>
      <c r="F61" s="95"/>
      <c r="G61" s="95"/>
      <c r="H61" s="95"/>
      <c r="I61" s="95"/>
    </row>
    <row r="63" spans="1:14" x14ac:dyDescent="0.25">
      <c r="C63" s="112"/>
      <c r="D63" s="112"/>
      <c r="E63" s="112"/>
      <c r="F63" s="112"/>
      <c r="G63" s="112"/>
      <c r="H63" s="112"/>
      <c r="I63" s="112"/>
      <c r="J63" s="112"/>
    </row>
    <row r="64" spans="1:14" x14ac:dyDescent="0.25">
      <c r="C64" s="112"/>
      <c r="D64" s="112"/>
      <c r="E64" s="112"/>
      <c r="F64" s="112"/>
      <c r="G64" s="112"/>
      <c r="H64" s="112"/>
      <c r="I64" s="112"/>
      <c r="J64" s="112"/>
    </row>
    <row r="65" spans="3:14" x14ac:dyDescent="0.25">
      <c r="C65" s="112"/>
      <c r="D65" s="112"/>
      <c r="E65" s="112"/>
      <c r="F65" s="112"/>
      <c r="G65" s="112"/>
      <c r="H65" s="112"/>
      <c r="I65" s="112"/>
      <c r="J65" s="112"/>
    </row>
    <row r="66" spans="3:14" x14ac:dyDescent="0.25">
      <c r="C66" s="112"/>
      <c r="D66" s="112"/>
      <c r="E66" s="112"/>
      <c r="F66" s="112"/>
      <c r="G66" s="112"/>
      <c r="H66" s="112"/>
      <c r="I66" s="112"/>
      <c r="J66" s="112"/>
    </row>
    <row r="67" spans="3:14" x14ac:dyDescent="0.25">
      <c r="C67" s="107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</row>
    <row r="68" spans="3:14" x14ac:dyDescent="0.25"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</row>
    <row r="69" spans="3:14" x14ac:dyDescent="0.25"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</row>
    <row r="70" spans="3:14" x14ac:dyDescent="0.25">
      <c r="C70" s="107"/>
      <c r="D70" s="107"/>
      <c r="E70" s="107"/>
      <c r="F70" s="107"/>
      <c r="G70" s="107"/>
      <c r="H70" s="107"/>
      <c r="I70" s="107"/>
      <c r="J70" s="107"/>
    </row>
    <row r="71" spans="3:14" x14ac:dyDescent="0.25">
      <c r="C71" s="107"/>
      <c r="D71" s="107"/>
      <c r="E71" s="107"/>
      <c r="F71" s="107"/>
      <c r="G71" s="107"/>
      <c r="H71" s="107"/>
      <c r="I71" s="107"/>
      <c r="J71" s="107"/>
    </row>
    <row r="72" spans="3:14" x14ac:dyDescent="0.25">
      <c r="C72" s="107"/>
      <c r="D72" s="107"/>
      <c r="E72" s="107"/>
      <c r="F72" s="107"/>
      <c r="G72" s="107"/>
      <c r="H72" s="107"/>
      <c r="I72" s="107"/>
      <c r="J72" s="107"/>
    </row>
  </sheetData>
  <mergeCells count="7">
    <mergeCell ref="A56:N56"/>
    <mergeCell ref="A57:N57"/>
    <mergeCell ref="A2:N2"/>
    <mergeCell ref="M3:N3"/>
    <mergeCell ref="A6:A12"/>
    <mergeCell ref="A13:A19"/>
    <mergeCell ref="A20:A26"/>
  </mergeCells>
  <hyperlinks>
    <hyperlink ref="A1" location="'Содержание'!A1" display="В содержание"/>
  </hyperlinks>
  <pageMargins left="0.25" right="0.25" top="0.75" bottom="0.75" header="0.3" footer="0.3"/>
  <pageSetup paperSize="9" scale="8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Содержание</vt:lpstr>
      <vt:lpstr>1</vt:lpstr>
      <vt:lpstr>2</vt:lpstr>
      <vt:lpstr>3</vt:lpstr>
      <vt:lpstr>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Смирнова Татьяна Александровна</cp:lastModifiedBy>
  <cp:revision>1</cp:revision>
  <cp:lastPrinted>2026-03-27T12:12:53Z</cp:lastPrinted>
  <dcterms:created xsi:type="dcterms:W3CDTF">2006-09-16T00:00:00Z</dcterms:created>
  <dcterms:modified xsi:type="dcterms:W3CDTF">2026-03-31T07:15:56Z</dcterms:modified>
</cp:coreProperties>
</file>